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C6C5EF3-583A-4E18-AD0E-DCD5209AC393}" xr6:coauthVersionLast="47" xr6:coauthVersionMax="47" xr10:uidLastSave="{00000000-0000-0000-0000-000000000000}"/>
  <bookViews>
    <workbookView xWindow="25490" yWindow="-110" windowWidth="25820" windowHeight="15500" xr2:uid="{9A12B27D-200B-420B-BAC1-2624CD6F5EE3}"/>
  </bookViews>
  <sheets>
    <sheet name="Sheet1" sheetId="1" r:id="rId1"/>
  </sheets>
  <definedNames>
    <definedName name="_xlchart.v1.0" hidden="1">Sheet1!$C$17:$C$36</definedName>
    <definedName name="_xlchart.v1.1" hidden="1">Sheet1!$E$17:$E$36</definedName>
    <definedName name="_xlchart.v1.2" hidden="1">Sheet1!$C$17:$C$36</definedName>
    <definedName name="_xlchart.v1.3" hidden="1">Sheet1!$E$17:$E$36</definedName>
    <definedName name="_xlchart.v1.4" hidden="1">Sheet1!$C$17:$C$36</definedName>
    <definedName name="_xlchart.v1.5" hidden="1">Sheet1!$E$17:$E$36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J22" i="1"/>
  <c r="I21" i="1"/>
  <c r="I20" i="1"/>
  <c r="J20" i="1"/>
  <c r="J19" i="1"/>
  <c r="J23" i="1"/>
  <c r="I23" i="1"/>
  <c r="H23" i="1"/>
  <c r="G23" i="1"/>
  <c r="H22" i="1"/>
  <c r="H19" i="1"/>
  <c r="G18" i="1"/>
  <c r="B9" i="1"/>
  <c r="G17" i="1"/>
  <c r="G20" i="1" s="1"/>
  <c r="B8" i="1"/>
  <c r="B10" i="1"/>
  <c r="H20" i="1" s="1"/>
  <c r="C17" i="1"/>
  <c r="C18" i="1"/>
  <c r="C19" i="1"/>
  <c r="C20" i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17" i="1"/>
  <c r="C11" i="1"/>
  <c r="B11" i="1"/>
  <c r="C10" i="1"/>
  <c r="C9" i="1"/>
  <c r="C8" i="1"/>
  <c r="E17" i="1" l="1"/>
  <c r="E20" i="1"/>
  <c r="E19" i="1"/>
  <c r="E18" i="1"/>
  <c r="G21" i="1"/>
  <c r="I18" i="1"/>
  <c r="J17" i="1"/>
  <c r="H17" i="1"/>
  <c r="I17" i="1"/>
</calcChain>
</file>

<file path=xl/sharedStrings.xml><?xml version="1.0" encoding="utf-8"?>
<sst xmlns="http://schemas.openxmlformats.org/spreadsheetml/2006/main" count="41" uniqueCount="34">
  <si>
    <t>表 17-1     描绘样品磁滞回线数据记录表</t>
    <phoneticPr fontId="1" type="noConversion"/>
  </si>
  <si>
    <t>电压UHS/mV</t>
    <phoneticPr fontId="1" type="noConversion"/>
  </si>
  <si>
    <t>电压UHD/mV</t>
    <phoneticPr fontId="1" type="noConversion"/>
  </si>
  <si>
    <t>电压UBS/mV</t>
    <phoneticPr fontId="1" type="noConversion"/>
  </si>
  <si>
    <t>电压Ubr/mV</t>
    <phoneticPr fontId="1" type="noConversion"/>
  </si>
  <si>
    <t>Hs/(A*m^(-1))</t>
    <phoneticPr fontId="1" type="noConversion"/>
  </si>
  <si>
    <t>Bs/T</t>
    <phoneticPr fontId="1" type="noConversion"/>
  </si>
  <si>
    <t>Br/T</t>
    <phoneticPr fontId="1" type="noConversion"/>
  </si>
  <si>
    <t>比较样品1和样品2磁滞损耗的大小</t>
    <phoneticPr fontId="1" type="noConversion"/>
  </si>
  <si>
    <t>样品1</t>
    <phoneticPr fontId="1" type="noConversion"/>
  </si>
  <si>
    <t>样品2</t>
  </si>
  <si>
    <t>样品参数</t>
    <phoneticPr fontId="1" type="noConversion"/>
  </si>
  <si>
    <t>N</t>
    <phoneticPr fontId="1" type="noConversion"/>
  </si>
  <si>
    <t>n</t>
    <phoneticPr fontId="1" type="noConversion"/>
  </si>
  <si>
    <t>L</t>
    <phoneticPr fontId="1" type="noConversion"/>
  </si>
  <si>
    <t>S</t>
    <phoneticPr fontId="1" type="noConversion"/>
  </si>
  <si>
    <t>mm</t>
    <phoneticPr fontId="1" type="noConversion"/>
  </si>
  <si>
    <t>mm^2</t>
    <phoneticPr fontId="1" type="noConversion"/>
  </si>
  <si>
    <t>测量参数</t>
    <phoneticPr fontId="1" type="noConversion"/>
  </si>
  <si>
    <t>R1</t>
    <phoneticPr fontId="1" type="noConversion"/>
  </si>
  <si>
    <t>Ohm</t>
    <phoneticPr fontId="1" type="noConversion"/>
  </si>
  <si>
    <t>R2</t>
    <phoneticPr fontId="1" type="noConversion"/>
  </si>
  <si>
    <t>C2</t>
    <phoneticPr fontId="1" type="noConversion"/>
  </si>
  <si>
    <t>uF</t>
    <phoneticPr fontId="1" type="noConversion"/>
  </si>
  <si>
    <t>样品1大于样品2</t>
    <phoneticPr fontId="1" type="noConversion"/>
  </si>
  <si>
    <t>HD/(A*m^(-1))</t>
    <phoneticPr fontId="1" type="noConversion"/>
  </si>
  <si>
    <t>表 17-2     测定样品2基本磁化曲线数据记录表</t>
    <phoneticPr fontId="1" type="noConversion"/>
  </si>
  <si>
    <t>样品2</t>
    <phoneticPr fontId="1" type="noConversion"/>
  </si>
  <si>
    <t>UH/mV</t>
    <phoneticPr fontId="1" type="noConversion"/>
  </si>
  <si>
    <t>UB/mV</t>
    <phoneticPr fontId="1" type="noConversion"/>
  </si>
  <si>
    <t>B/T</t>
    <phoneticPr fontId="1" type="noConversion"/>
  </si>
  <si>
    <t>H/(A*m^(-1))</t>
    <phoneticPr fontId="1" type="noConversion"/>
  </si>
  <si>
    <t>μ/((10^(-2))H*m^(-1))</t>
    <phoneticPr fontId="1" type="noConversion"/>
  </si>
  <si>
    <t>TEMP:用于绘制样品磁滞回线的特征点数据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</si>
</sst>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7"/>
      <color rgb="FF000000"/>
      <name val="Consolas"/>
      <family val="3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b="1"/>
              <a:t>样品</a:t>
            </a:r>
            <a:r>
              <a:rPr lang="en-US" altLang="zh-CN" b="1"/>
              <a:t>1</a:t>
            </a:r>
            <a:r>
              <a:rPr lang="zh-CN" altLang="en-US" b="1"/>
              <a:t>，</a:t>
            </a:r>
            <a:r>
              <a:rPr lang="en-US" altLang="zh-CN" b="1"/>
              <a:t>2</a:t>
            </a:r>
            <a:r>
              <a:rPr lang="zh-CN" altLang="en-US" b="1"/>
              <a:t>的磁滞回线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4743000874890651E-2"/>
          <c:y val="0.11874349521338737"/>
          <c:w val="0.81966925587004313"/>
          <c:h val="0.85575895498611809"/>
        </c:manualLayout>
      </c:layout>
      <c:scatterChart>
        <c:scatterStyle val="smoothMarker"/>
        <c:varyColors val="0"/>
        <c:ser>
          <c:idx val="0"/>
          <c:order val="0"/>
          <c:tx>
            <c:v>样品1_0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Sheet1!$G$17:$G$20</c:f>
              <c:numCache>
                <c:formatCode>General</c:formatCode>
                <c:ptCount val="4"/>
                <c:pt idx="0">
                  <c:v>0.16089166666666666</c:v>
                </c:pt>
                <c:pt idx="1">
                  <c:v>9.2450000000000004E-2</c:v>
                </c:pt>
                <c:pt idx="2">
                  <c:v>0</c:v>
                </c:pt>
                <c:pt idx="3">
                  <c:v>-0.16089166666666666</c:v>
                </c:pt>
              </c:numCache>
            </c:numRef>
          </c:xVal>
          <c:yVal>
            <c:numRef>
              <c:f>Sheet1!$H$17:$H$20</c:f>
              <c:numCache>
                <c:formatCode>General</c:formatCode>
                <c:ptCount val="4"/>
                <c:pt idx="0">
                  <c:v>0.40237499999999998</c:v>
                </c:pt>
                <c:pt idx="1">
                  <c:v>0</c:v>
                </c:pt>
                <c:pt idx="2">
                  <c:v>-0.25874999999999998</c:v>
                </c:pt>
                <c:pt idx="3">
                  <c:v>-0.40237499999999998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3E-4939-8404-9DA82C66FD33}"/>
            </c:ext>
          </c:extLst>
        </c:ser>
        <c:ser>
          <c:idx val="1"/>
          <c:order val="1"/>
          <c:tx>
            <c:v>样品1_1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Sheet1!$G$20:$G$23</c:f>
              <c:numCache>
                <c:formatCode>General</c:formatCode>
                <c:ptCount val="4"/>
                <c:pt idx="0">
                  <c:v>-0.16089166666666666</c:v>
                </c:pt>
                <c:pt idx="1">
                  <c:v>-9.2450000000000004E-2</c:v>
                </c:pt>
                <c:pt idx="2">
                  <c:v>0</c:v>
                </c:pt>
                <c:pt idx="3">
                  <c:v>0.16089166666666666</c:v>
                </c:pt>
              </c:numCache>
            </c:numRef>
          </c:xVal>
          <c:yVal>
            <c:numRef>
              <c:f>Sheet1!$H$20:$H$23</c:f>
              <c:numCache>
                <c:formatCode>General</c:formatCode>
                <c:ptCount val="4"/>
                <c:pt idx="0">
                  <c:v>-0.40237499999999998</c:v>
                </c:pt>
                <c:pt idx="1">
                  <c:v>0</c:v>
                </c:pt>
                <c:pt idx="2">
                  <c:v>0.25874999999999998</c:v>
                </c:pt>
                <c:pt idx="3">
                  <c:v>0.40237499999999998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3E-4939-8404-9DA82C66FD33}"/>
            </c:ext>
          </c:extLst>
        </c:ser>
        <c:ser>
          <c:idx val="2"/>
          <c:order val="2"/>
          <c:tx>
            <c:v>样品2_0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Sheet1!$I$17:$I$20</c:f>
              <c:numCache>
                <c:formatCode>General</c:formatCode>
                <c:ptCount val="4"/>
                <c:pt idx="0">
                  <c:v>0.16900000000000001</c:v>
                </c:pt>
                <c:pt idx="1">
                  <c:v>3.4500000000000003E-2</c:v>
                </c:pt>
                <c:pt idx="2">
                  <c:v>0</c:v>
                </c:pt>
                <c:pt idx="3">
                  <c:v>-0.16900000000000001</c:v>
                </c:pt>
              </c:numCache>
            </c:numRef>
          </c:xVal>
          <c:yVal>
            <c:numRef>
              <c:f>Sheet1!$J$17:$J$20</c:f>
              <c:numCache>
                <c:formatCode>General</c:formatCode>
                <c:ptCount val="4"/>
                <c:pt idx="0">
                  <c:v>0.61762499999999998</c:v>
                </c:pt>
                <c:pt idx="1">
                  <c:v>0</c:v>
                </c:pt>
                <c:pt idx="2">
                  <c:v>-0.20774999999999999</c:v>
                </c:pt>
                <c:pt idx="3">
                  <c:v>-0.61762499999999998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33E-4939-8404-9DA82C66FD33}"/>
            </c:ext>
          </c:extLst>
        </c:ser>
        <c:ser>
          <c:idx val="3"/>
          <c:order val="3"/>
          <c:tx>
            <c:v>样品2_1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Sheet1!$I$20:$I$23</c:f>
              <c:numCache>
                <c:formatCode>General</c:formatCode>
                <c:ptCount val="4"/>
                <c:pt idx="0">
                  <c:v>-0.16900000000000001</c:v>
                </c:pt>
                <c:pt idx="1">
                  <c:v>-3.4500000000000003E-2</c:v>
                </c:pt>
                <c:pt idx="2">
                  <c:v>0</c:v>
                </c:pt>
                <c:pt idx="3">
                  <c:v>0.16900000000000001</c:v>
                </c:pt>
              </c:numCache>
            </c:numRef>
          </c:xVal>
          <c:yVal>
            <c:numRef>
              <c:f>Sheet1!$J$20:$J$23</c:f>
              <c:numCache>
                <c:formatCode>General</c:formatCode>
                <c:ptCount val="4"/>
                <c:pt idx="0">
                  <c:v>-0.61762499999999998</c:v>
                </c:pt>
                <c:pt idx="1">
                  <c:v>0</c:v>
                </c:pt>
                <c:pt idx="2">
                  <c:v>0.20774999999999999</c:v>
                </c:pt>
                <c:pt idx="3">
                  <c:v>0.61762499999999998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33E-4939-8404-9DA82C66F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756656"/>
        <c:axId val="185070656"/>
      </c:scatterChart>
      <c:valAx>
        <c:axId val="43575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070656"/>
        <c:crosses val="autoZero"/>
        <c:crossBetween val="midCat"/>
      </c:valAx>
      <c:valAx>
        <c:axId val="1850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5756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291657799531818"/>
          <c:y val="0.11553866460334078"/>
          <c:w val="0.13708344868502623"/>
          <c:h val="0.257895968698312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样品</a:t>
            </a:r>
            <a:r>
              <a:rPr lang="en-US" altLang="zh-CN"/>
              <a:t>2 B-H</a:t>
            </a:r>
            <a:r>
              <a:rPr lang="zh-CN" altLang="en-US"/>
              <a:t>曲线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样品2 B-H曲线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Sheet1!$D$17:$D$36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1.2999999999999999E-2</c:v>
                </c:pt>
                <c:pt idx="2">
                  <c:v>2.3E-2</c:v>
                </c:pt>
                <c:pt idx="3">
                  <c:v>3.3000000000000002E-2</c:v>
                </c:pt>
                <c:pt idx="4">
                  <c:v>4.2999999999999997E-2</c:v>
                </c:pt>
                <c:pt idx="5">
                  <c:v>5.2999999999999999E-2</c:v>
                </c:pt>
                <c:pt idx="6">
                  <c:v>6.3E-2</c:v>
                </c:pt>
                <c:pt idx="7">
                  <c:v>7.2999999999999995E-2</c:v>
                </c:pt>
                <c:pt idx="8">
                  <c:v>8.3000000000000004E-2</c:v>
                </c:pt>
                <c:pt idx="9">
                  <c:v>9.2999999999999999E-2</c:v>
                </c:pt>
                <c:pt idx="10">
                  <c:v>0.10299999999999999</c:v>
                </c:pt>
                <c:pt idx="11">
                  <c:v>0.113</c:v>
                </c:pt>
                <c:pt idx="12">
                  <c:v>0.123</c:v>
                </c:pt>
                <c:pt idx="13">
                  <c:v>0.13300000000000001</c:v>
                </c:pt>
                <c:pt idx="14">
                  <c:v>0.14299999999999999</c:v>
                </c:pt>
                <c:pt idx="15">
                  <c:v>0.153</c:v>
                </c:pt>
                <c:pt idx="16">
                  <c:v>0.16300000000000001</c:v>
                </c:pt>
                <c:pt idx="17">
                  <c:v>0.17299999999999999</c:v>
                </c:pt>
                <c:pt idx="18">
                  <c:v>0.183</c:v>
                </c:pt>
                <c:pt idx="19">
                  <c:v>0.193</c:v>
                </c:pt>
              </c:numCache>
            </c:numRef>
          </c:xVal>
          <c:yVal>
            <c:numRef>
              <c:f>Sheet1!$C$17:$C$36</c:f>
              <c:numCache>
                <c:formatCode>General</c:formatCode>
                <c:ptCount val="20"/>
                <c:pt idx="0">
                  <c:v>1.35E-2</c:v>
                </c:pt>
                <c:pt idx="1">
                  <c:v>4.2000000000000003E-2</c:v>
                </c:pt>
                <c:pt idx="2">
                  <c:v>0.09</c:v>
                </c:pt>
                <c:pt idx="3">
                  <c:v>0.14099999999999999</c:v>
                </c:pt>
                <c:pt idx="4">
                  <c:v>0.192</c:v>
                </c:pt>
                <c:pt idx="5">
                  <c:v>0.24299999999999999</c:v>
                </c:pt>
                <c:pt idx="6">
                  <c:v>0.29249999999999998</c:v>
                </c:pt>
                <c:pt idx="7">
                  <c:v>0.33450000000000002</c:v>
                </c:pt>
                <c:pt idx="8">
                  <c:v>0.3735</c:v>
                </c:pt>
                <c:pt idx="9">
                  <c:v>0.39300000000000002</c:v>
                </c:pt>
                <c:pt idx="10">
                  <c:v>0.441</c:v>
                </c:pt>
                <c:pt idx="11">
                  <c:v>0.46949999999999997</c:v>
                </c:pt>
                <c:pt idx="12">
                  <c:v>0.4965</c:v>
                </c:pt>
                <c:pt idx="13">
                  <c:v>0.51749999999999996</c:v>
                </c:pt>
                <c:pt idx="14">
                  <c:v>0.54449999999999998</c:v>
                </c:pt>
                <c:pt idx="15">
                  <c:v>0.5625</c:v>
                </c:pt>
                <c:pt idx="16">
                  <c:v>0.58499999999999996</c:v>
                </c:pt>
                <c:pt idx="17">
                  <c:v>0.60299999999999998</c:v>
                </c:pt>
                <c:pt idx="18">
                  <c:v>0.621</c:v>
                </c:pt>
                <c:pt idx="19">
                  <c:v>0.63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0B-4997-B01F-080240ECC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8090000"/>
        <c:axId val="1346756208"/>
      </c:scatterChart>
      <c:valAx>
        <c:axId val="15280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46756208"/>
        <c:crosses val="autoZero"/>
        <c:crossBetween val="midCat"/>
      </c:valAx>
      <c:valAx>
        <c:axId val="134675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809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样品2 μ-H曲线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Sheet1!$D$17:$D$36</c:f>
              <c:numCache>
                <c:formatCode>General</c:formatCode>
                <c:ptCount val="20"/>
                <c:pt idx="0">
                  <c:v>3.0000000000000001E-3</c:v>
                </c:pt>
                <c:pt idx="1">
                  <c:v>1.2999999999999999E-2</c:v>
                </c:pt>
                <c:pt idx="2">
                  <c:v>2.3E-2</c:v>
                </c:pt>
                <c:pt idx="3">
                  <c:v>3.3000000000000002E-2</c:v>
                </c:pt>
                <c:pt idx="4">
                  <c:v>4.2999999999999997E-2</c:v>
                </c:pt>
                <c:pt idx="5">
                  <c:v>5.2999999999999999E-2</c:v>
                </c:pt>
                <c:pt idx="6">
                  <c:v>6.3E-2</c:v>
                </c:pt>
                <c:pt idx="7">
                  <c:v>7.2999999999999995E-2</c:v>
                </c:pt>
                <c:pt idx="8">
                  <c:v>8.3000000000000004E-2</c:v>
                </c:pt>
                <c:pt idx="9">
                  <c:v>9.2999999999999999E-2</c:v>
                </c:pt>
                <c:pt idx="10">
                  <c:v>0.10299999999999999</c:v>
                </c:pt>
                <c:pt idx="11">
                  <c:v>0.113</c:v>
                </c:pt>
                <c:pt idx="12">
                  <c:v>0.123</c:v>
                </c:pt>
                <c:pt idx="13">
                  <c:v>0.13300000000000001</c:v>
                </c:pt>
                <c:pt idx="14">
                  <c:v>0.14299999999999999</c:v>
                </c:pt>
                <c:pt idx="15">
                  <c:v>0.153</c:v>
                </c:pt>
                <c:pt idx="16">
                  <c:v>0.16300000000000001</c:v>
                </c:pt>
                <c:pt idx="17">
                  <c:v>0.17299999999999999</c:v>
                </c:pt>
                <c:pt idx="18">
                  <c:v>0.183</c:v>
                </c:pt>
                <c:pt idx="19">
                  <c:v>0.193</c:v>
                </c:pt>
              </c:numCache>
            </c:numRef>
          </c:xVal>
          <c:yVal>
            <c:numRef>
              <c:f>Sheet1!$E$17:$E$36</c:f>
              <c:numCache>
                <c:formatCode>General</c:formatCode>
                <c:ptCount val="20"/>
                <c:pt idx="0">
                  <c:v>450</c:v>
                </c:pt>
                <c:pt idx="1">
                  <c:v>323.07692307692315</c:v>
                </c:pt>
                <c:pt idx="2">
                  <c:v>391.30434782608694</c:v>
                </c:pt>
                <c:pt idx="3">
                  <c:v>427.27272727272725</c:v>
                </c:pt>
                <c:pt idx="4">
                  <c:v>446.51162790697686</c:v>
                </c:pt>
                <c:pt idx="5">
                  <c:v>458.49056603773579</c:v>
                </c:pt>
                <c:pt idx="6">
                  <c:v>464.28571428571422</c:v>
                </c:pt>
                <c:pt idx="7">
                  <c:v>458.21917808219183</c:v>
                </c:pt>
                <c:pt idx="8">
                  <c:v>450</c:v>
                </c:pt>
                <c:pt idx="9">
                  <c:v>422.58064516129031</c:v>
                </c:pt>
                <c:pt idx="10">
                  <c:v>428.15533980582529</c:v>
                </c:pt>
                <c:pt idx="11">
                  <c:v>415.48672566371681</c:v>
                </c:pt>
                <c:pt idx="12">
                  <c:v>403.65853658536588</c:v>
                </c:pt>
                <c:pt idx="13">
                  <c:v>389.0977443609022</c:v>
                </c:pt>
                <c:pt idx="14">
                  <c:v>380.76923076923077</c:v>
                </c:pt>
                <c:pt idx="15">
                  <c:v>367.64705882352945</c:v>
                </c:pt>
                <c:pt idx="16">
                  <c:v>358.89570552147234</c:v>
                </c:pt>
                <c:pt idx="17">
                  <c:v>348.5549132947977</c:v>
                </c:pt>
                <c:pt idx="18">
                  <c:v>339.34426229508199</c:v>
                </c:pt>
                <c:pt idx="19">
                  <c:v>326.42487046632124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BDB-4F73-B897-BEBFFCEB5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845968"/>
        <c:axId val="1272846448"/>
      </c:scatterChart>
      <c:valAx>
        <c:axId val="127284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846448"/>
        <c:crosses val="autoZero"/>
        <c:crossBetween val="midCat"/>
      </c:valAx>
      <c:valAx>
        <c:axId val="127284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284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355600</xdr:colOff>
      <xdr:row>23</xdr:row>
      <xdr:rowOff>101600</xdr:rowOff>
    </xdr:from>
    <xdr:to>
      <xdr:col>12</xdr:col>
      <xdr:colOff>279400</xdr:colOff>
      <xdr:row>42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C269235-1524-581A-A6CB-6C75ACC56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723900</xdr:colOff>
      <xdr:row>36</xdr:row>
      <xdr:rowOff>50800</xdr:rowOff>
    </xdr:from>
    <xdr:to>
      <xdr:col>4</xdr:col>
      <xdr:colOff>482600</xdr:colOff>
      <xdr:row>51</xdr:row>
      <xdr:rowOff>127000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70196F5-44D1-C3D1-9302-928092DB8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723900</xdr:colOff>
      <xdr:row>52</xdr:row>
      <xdr:rowOff>31750</xdr:rowOff>
    </xdr:from>
    <xdr:to>
      <xdr:col>4</xdr:col>
      <xdr:colOff>482600</xdr:colOff>
      <xdr:row>67</xdr:row>
      <xdr:rowOff>107950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7DB43592-5964-7E60-9FA5-44AA360CD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1196-AF7E-42DB-A9DD-B777C0D37EF8}">
  <dimension ref="A2:J36"/>
  <sheetViews>
    <sheetView tabSelected="1" topLeftCell="A10" zoomScale="85" zoomScaleNormal="85" workbookViewId="0">
      <selection activeCell="G47" sqref="G47"/>
    </sheetView>
  </sheetViews>
  <sheetFormatPr defaultRowHeight="14" x14ac:dyDescent="0.3"/>
  <cols>
    <col min="1" max="1" width="17.25" customWidth="1"/>
    <col min="2" max="2" width="15.4140625" customWidth="1"/>
    <col min="3" max="3" width="15.9140625" customWidth="1"/>
    <col min="4" max="4" width="14.58203125" customWidth="1"/>
    <col min="5" max="5" width="18.5" customWidth="1"/>
    <col min="6" max="6" width="9.83203125" customWidth="1"/>
    <col min="7" max="7" width="12.4140625" customWidth="1"/>
    <col min="8" max="8" width="11.9140625" customWidth="1"/>
    <col min="9" max="9" width="11.5" customWidth="1"/>
    <col min="10" max="10" width="12" customWidth="1"/>
  </cols>
  <sheetData>
    <row r="2" spans="1:10" x14ac:dyDescent="0.3">
      <c r="A2" s="3" t="s">
        <v>0</v>
      </c>
      <c r="B2" s="3"/>
      <c r="C2" s="3"/>
      <c r="E2" s="8" t="s">
        <v>11</v>
      </c>
      <c r="F2" s="9"/>
      <c r="G2" s="10"/>
    </row>
    <row r="3" spans="1:10" x14ac:dyDescent="0.3">
      <c r="A3" s="4"/>
      <c r="B3" s="4" t="s">
        <v>9</v>
      </c>
      <c r="C3" s="4" t="s">
        <v>10</v>
      </c>
      <c r="E3" s="4" t="s">
        <v>12</v>
      </c>
      <c r="F3" s="4">
        <v>50</v>
      </c>
      <c r="G3" s="4"/>
    </row>
    <row r="4" spans="1:10" x14ac:dyDescent="0.3">
      <c r="A4" s="4" t="s">
        <v>1</v>
      </c>
      <c r="B4" s="4">
        <v>482.67500000000001</v>
      </c>
      <c r="C4" s="4">
        <v>507</v>
      </c>
      <c r="E4" s="4" t="s">
        <v>13</v>
      </c>
      <c r="F4" s="4">
        <v>150</v>
      </c>
      <c r="G4" s="4"/>
    </row>
    <row r="5" spans="1:10" x14ac:dyDescent="0.3">
      <c r="A5" s="4" t="s">
        <v>2</v>
      </c>
      <c r="B5" s="4">
        <v>277.35000000000002</v>
      </c>
      <c r="C5" s="4">
        <v>103.5</v>
      </c>
      <c r="E5" s="4" t="s">
        <v>14</v>
      </c>
      <c r="F5" s="4">
        <v>60</v>
      </c>
      <c r="G5" s="4" t="s">
        <v>16</v>
      </c>
    </row>
    <row r="6" spans="1:10" x14ac:dyDescent="0.3">
      <c r="A6" s="4" t="s">
        <v>3</v>
      </c>
      <c r="B6" s="4">
        <v>26.824999999999999</v>
      </c>
      <c r="C6" s="4">
        <v>41.174999999999997</v>
      </c>
      <c r="E6" s="4" t="s">
        <v>15</v>
      </c>
      <c r="F6" s="4">
        <v>80</v>
      </c>
      <c r="G6" s="4" t="s">
        <v>17</v>
      </c>
    </row>
    <row r="7" spans="1:10" x14ac:dyDescent="0.3">
      <c r="A7" s="4" t="s">
        <v>4</v>
      </c>
      <c r="B7" s="4">
        <v>17.25</v>
      </c>
      <c r="C7" s="4">
        <v>13.85</v>
      </c>
      <c r="E7" s="8" t="s">
        <v>18</v>
      </c>
      <c r="F7" s="9"/>
      <c r="G7" s="10"/>
    </row>
    <row r="8" spans="1:10" x14ac:dyDescent="0.3">
      <c r="A8" s="4" t="s">
        <v>5</v>
      </c>
      <c r="B8" s="5">
        <f>(F3)/(F5*F8)*B4/1000</f>
        <v>0.16089166666666666</v>
      </c>
      <c r="C8" s="5">
        <f>(F3)/(F5*F8)*C4/1000</f>
        <v>0.16900000000000001</v>
      </c>
      <c r="E8" s="4" t="s">
        <v>19</v>
      </c>
      <c r="F8" s="4">
        <v>2.5</v>
      </c>
      <c r="G8" s="4" t="s">
        <v>20</v>
      </c>
    </row>
    <row r="9" spans="1:10" x14ac:dyDescent="0.3">
      <c r="A9" s="4" t="s">
        <v>25</v>
      </c>
      <c r="B9" s="5">
        <f>(F3)/(F5*F8)*B5/1000</f>
        <v>9.2450000000000004E-2</v>
      </c>
      <c r="C9" s="5">
        <f>(F3)/(F5*F8)*C5/1000</f>
        <v>3.4500000000000003E-2</v>
      </c>
      <c r="E9" s="4" t="s">
        <v>21</v>
      </c>
      <c r="F9" s="4">
        <v>30000</v>
      </c>
      <c r="G9" s="4" t="s">
        <v>20</v>
      </c>
    </row>
    <row r="10" spans="1:10" x14ac:dyDescent="0.3">
      <c r="A10" s="4" t="s">
        <v>6</v>
      </c>
      <c r="B10" s="5">
        <f>(F10*F9)/(F4*F6)*B6/1000</f>
        <v>0.40237499999999998</v>
      </c>
      <c r="C10" s="5">
        <f>(F10*F9)/(F4*F6)*C6/1000</f>
        <v>0.61762499999999998</v>
      </c>
      <c r="E10" s="4" t="s">
        <v>22</v>
      </c>
      <c r="F10" s="4">
        <v>6</v>
      </c>
      <c r="G10" s="4" t="s">
        <v>23</v>
      </c>
    </row>
    <row r="11" spans="1:10" x14ac:dyDescent="0.3">
      <c r="A11" s="4" t="s">
        <v>7</v>
      </c>
      <c r="B11" s="5">
        <f>(F10*F9)/(F4*F6)*B7/1000</f>
        <v>0.25874999999999998</v>
      </c>
      <c r="C11" s="5">
        <f>(F10*F9)/(F4*F6)*C7/1000</f>
        <v>0.20774999999999999</v>
      </c>
    </row>
    <row r="12" spans="1:10" ht="28" x14ac:dyDescent="0.3">
      <c r="A12" s="6" t="s">
        <v>8</v>
      </c>
      <c r="B12" s="7" t="s">
        <v>24</v>
      </c>
      <c r="C12" s="7"/>
    </row>
    <row r="14" spans="1:10" x14ac:dyDescent="0.3">
      <c r="A14" s="3" t="s">
        <v>26</v>
      </c>
      <c r="B14" s="3"/>
      <c r="C14" s="3"/>
      <c r="D14" s="3"/>
      <c r="E14" s="3"/>
      <c r="G14" s="7" t="s">
        <v>33</v>
      </c>
      <c r="H14" s="7"/>
      <c r="I14" s="7"/>
      <c r="J14" s="7"/>
    </row>
    <row r="15" spans="1:10" x14ac:dyDescent="0.3">
      <c r="A15" s="7" t="s">
        <v>27</v>
      </c>
      <c r="B15" s="7"/>
      <c r="C15" s="7"/>
      <c r="D15" s="7"/>
      <c r="E15" s="7"/>
      <c r="G15" s="7" t="s">
        <v>9</v>
      </c>
      <c r="H15" s="7"/>
      <c r="I15" s="7" t="s">
        <v>27</v>
      </c>
      <c r="J15" s="7"/>
    </row>
    <row r="16" spans="1:10" x14ac:dyDescent="0.3">
      <c r="A16" s="4" t="s">
        <v>28</v>
      </c>
      <c r="B16" s="4" t="s">
        <v>29</v>
      </c>
      <c r="C16" s="4" t="s">
        <v>30</v>
      </c>
      <c r="D16" s="4" t="s">
        <v>31</v>
      </c>
      <c r="E16" s="11" t="s">
        <v>32</v>
      </c>
      <c r="F16" s="2"/>
      <c r="G16" s="4" t="s">
        <v>31</v>
      </c>
      <c r="H16" s="4" t="s">
        <v>30</v>
      </c>
      <c r="I16" s="4" t="s">
        <v>31</v>
      </c>
      <c r="J16" s="4" t="s">
        <v>30</v>
      </c>
    </row>
    <row r="17" spans="1:10" x14ac:dyDescent="0.3">
      <c r="A17" s="4">
        <v>9</v>
      </c>
      <c r="B17" s="4">
        <v>0.9</v>
      </c>
      <c r="C17" s="5">
        <f>($F$10*$F$9)/($F$4*$F$6)*B17/1000</f>
        <v>1.35E-2</v>
      </c>
      <c r="D17" s="5">
        <f>($F$3)/($F$5*$F$8)*A17/1000</f>
        <v>3.0000000000000001E-3</v>
      </c>
      <c r="E17" s="5">
        <f>C17/D17*100</f>
        <v>450</v>
      </c>
      <c r="G17" s="4">
        <f>(F3)/(F5*F8)*B4/1000</f>
        <v>0.16089166666666666</v>
      </c>
      <c r="H17" s="4">
        <f>B10</f>
        <v>0.40237499999999998</v>
      </c>
      <c r="I17" s="4">
        <f>C8</f>
        <v>0.16900000000000001</v>
      </c>
      <c r="J17" s="4">
        <f>C10</f>
        <v>0.61762499999999998</v>
      </c>
    </row>
    <row r="18" spans="1:10" x14ac:dyDescent="0.3">
      <c r="A18" s="4">
        <v>39</v>
      </c>
      <c r="B18" s="4">
        <v>2.8</v>
      </c>
      <c r="C18" s="5">
        <f t="shared" ref="C18:C36" si="0">($F$10*$F$9)/($F$4*$F$6)*B18/1000</f>
        <v>4.2000000000000003E-2</v>
      </c>
      <c r="D18" s="5">
        <f>($F$3)/($F$5*$F$8)*A18/1000</f>
        <v>1.2999999999999999E-2</v>
      </c>
      <c r="E18" s="5">
        <f t="shared" ref="E18:E36" si="1">C18/D18*100</f>
        <v>323.07692307692315</v>
      </c>
      <c r="G18" s="4">
        <f>(F3)/(F5*F8)*B5/1000</f>
        <v>9.2450000000000004E-2</v>
      </c>
      <c r="H18" s="4">
        <v>0</v>
      </c>
      <c r="I18" s="4">
        <f>C9</f>
        <v>3.4500000000000003E-2</v>
      </c>
      <c r="J18" s="4">
        <v>0</v>
      </c>
    </row>
    <row r="19" spans="1:10" x14ac:dyDescent="0.3">
      <c r="A19" s="4">
        <v>69</v>
      </c>
      <c r="B19" s="4">
        <v>6</v>
      </c>
      <c r="C19" s="5">
        <f t="shared" si="0"/>
        <v>0.09</v>
      </c>
      <c r="D19" s="5">
        <f t="shared" ref="D19:D36" si="2">($F$3)/($F$5*$F$8)*A19/1000</f>
        <v>2.3E-2</v>
      </c>
      <c r="E19" s="5">
        <f t="shared" si="1"/>
        <v>391.30434782608694</v>
      </c>
      <c r="G19" s="4">
        <v>0</v>
      </c>
      <c r="H19" s="4">
        <f>-B11</f>
        <v>-0.25874999999999998</v>
      </c>
      <c r="I19" s="4">
        <v>0</v>
      </c>
      <c r="J19" s="4">
        <f>-C11</f>
        <v>-0.20774999999999999</v>
      </c>
    </row>
    <row r="20" spans="1:10" x14ac:dyDescent="0.3">
      <c r="A20" s="4">
        <v>99</v>
      </c>
      <c r="B20" s="4">
        <v>9.4</v>
      </c>
      <c r="C20" s="5">
        <f t="shared" si="0"/>
        <v>0.14099999999999999</v>
      </c>
      <c r="D20" s="5">
        <f t="shared" si="2"/>
        <v>3.3000000000000002E-2</v>
      </c>
      <c r="E20" s="5">
        <f t="shared" si="1"/>
        <v>427.27272727272725</v>
      </c>
      <c r="G20" s="4">
        <f>-G17</f>
        <v>-0.16089166666666666</v>
      </c>
      <c r="H20" s="4">
        <f>-B10</f>
        <v>-0.40237499999999998</v>
      </c>
      <c r="I20" s="4">
        <f>-C8</f>
        <v>-0.16900000000000001</v>
      </c>
      <c r="J20" s="4">
        <f>-J17</f>
        <v>-0.61762499999999998</v>
      </c>
    </row>
    <row r="21" spans="1:10" x14ac:dyDescent="0.3">
      <c r="A21" s="4">
        <v>129</v>
      </c>
      <c r="B21" s="4">
        <v>12.8</v>
      </c>
      <c r="C21" s="5">
        <f t="shared" si="0"/>
        <v>0.192</v>
      </c>
      <c r="D21" s="5">
        <f t="shared" si="2"/>
        <v>4.2999999999999997E-2</v>
      </c>
      <c r="E21" s="5">
        <f t="shared" si="1"/>
        <v>446.51162790697686</v>
      </c>
      <c r="G21" s="4">
        <f>-G18</f>
        <v>-9.2450000000000004E-2</v>
      </c>
      <c r="H21" s="4">
        <v>0</v>
      </c>
      <c r="I21" s="4">
        <f>-C9</f>
        <v>-3.4500000000000003E-2</v>
      </c>
      <c r="J21" s="4">
        <v>0</v>
      </c>
    </row>
    <row r="22" spans="1:10" x14ac:dyDescent="0.3">
      <c r="A22" s="4">
        <v>159</v>
      </c>
      <c r="B22" s="4">
        <v>16.2</v>
      </c>
      <c r="C22" s="5">
        <f t="shared" si="0"/>
        <v>0.24299999999999999</v>
      </c>
      <c r="D22" s="5">
        <f t="shared" si="2"/>
        <v>5.2999999999999999E-2</v>
      </c>
      <c r="E22" s="5">
        <f t="shared" si="1"/>
        <v>458.49056603773579</v>
      </c>
      <c r="G22" s="4">
        <v>0</v>
      </c>
      <c r="H22" s="4">
        <f>B11</f>
        <v>0.25874999999999998</v>
      </c>
      <c r="I22" s="4">
        <v>0</v>
      </c>
      <c r="J22" s="4">
        <f>C11</f>
        <v>0.20774999999999999</v>
      </c>
    </row>
    <row r="23" spans="1:10" x14ac:dyDescent="0.3">
      <c r="A23" s="4">
        <v>189</v>
      </c>
      <c r="B23" s="4">
        <v>19.5</v>
      </c>
      <c r="C23" s="5">
        <f t="shared" si="0"/>
        <v>0.29249999999999998</v>
      </c>
      <c r="D23" s="5">
        <f t="shared" si="2"/>
        <v>6.3E-2</v>
      </c>
      <c r="E23" s="5">
        <f t="shared" si="1"/>
        <v>464.28571428571422</v>
      </c>
      <c r="G23" s="4">
        <f>B8</f>
        <v>0.16089166666666666</v>
      </c>
      <c r="H23" s="4">
        <f>B10</f>
        <v>0.40237499999999998</v>
      </c>
      <c r="I23" s="4">
        <f>C8</f>
        <v>0.16900000000000001</v>
      </c>
      <c r="J23" s="4">
        <f>C10</f>
        <v>0.61762499999999998</v>
      </c>
    </row>
    <row r="24" spans="1:10" x14ac:dyDescent="0.3">
      <c r="A24" s="4">
        <v>219</v>
      </c>
      <c r="B24" s="4">
        <v>22.3</v>
      </c>
      <c r="C24" s="5">
        <f t="shared" si="0"/>
        <v>0.33450000000000002</v>
      </c>
      <c r="D24" s="5">
        <f t="shared" si="2"/>
        <v>7.2999999999999995E-2</v>
      </c>
      <c r="E24" s="5">
        <f t="shared" si="1"/>
        <v>458.21917808219183</v>
      </c>
    </row>
    <row r="25" spans="1:10" x14ac:dyDescent="0.3">
      <c r="A25" s="4">
        <v>249</v>
      </c>
      <c r="B25" s="4">
        <v>24.9</v>
      </c>
      <c r="C25" s="5">
        <f t="shared" si="0"/>
        <v>0.3735</v>
      </c>
      <c r="D25" s="5">
        <f t="shared" si="2"/>
        <v>8.3000000000000004E-2</v>
      </c>
      <c r="E25" s="5">
        <f t="shared" si="1"/>
        <v>450</v>
      </c>
      <c r="G25" s="1"/>
      <c r="H25" s="1"/>
      <c r="I25" s="1"/>
      <c r="J25" s="1"/>
    </row>
    <row r="26" spans="1:10" x14ac:dyDescent="0.3">
      <c r="A26" s="4">
        <v>279</v>
      </c>
      <c r="B26" s="4">
        <v>26.2</v>
      </c>
      <c r="C26" s="5">
        <f t="shared" si="0"/>
        <v>0.39300000000000002</v>
      </c>
      <c r="D26" s="5">
        <f t="shared" si="2"/>
        <v>9.2999999999999999E-2</v>
      </c>
      <c r="E26" s="5">
        <f t="shared" si="1"/>
        <v>422.58064516129031</v>
      </c>
    </row>
    <row r="27" spans="1:10" x14ac:dyDescent="0.3">
      <c r="A27" s="4">
        <v>309</v>
      </c>
      <c r="B27" s="4">
        <v>29.4</v>
      </c>
      <c r="C27" s="5">
        <f t="shared" si="0"/>
        <v>0.441</v>
      </c>
      <c r="D27" s="5">
        <f t="shared" si="2"/>
        <v>0.10299999999999999</v>
      </c>
      <c r="E27" s="5">
        <f t="shared" si="1"/>
        <v>428.15533980582529</v>
      </c>
    </row>
    <row r="28" spans="1:10" x14ac:dyDescent="0.3">
      <c r="A28" s="4">
        <v>339</v>
      </c>
      <c r="B28" s="4">
        <v>31.3</v>
      </c>
      <c r="C28" s="5">
        <f t="shared" si="0"/>
        <v>0.46949999999999997</v>
      </c>
      <c r="D28" s="5">
        <f t="shared" si="2"/>
        <v>0.113</v>
      </c>
      <c r="E28" s="5">
        <f t="shared" si="1"/>
        <v>415.48672566371681</v>
      </c>
    </row>
    <row r="29" spans="1:10" x14ac:dyDescent="0.3">
      <c r="A29" s="4">
        <v>369</v>
      </c>
      <c r="B29" s="4">
        <v>33.1</v>
      </c>
      <c r="C29" s="5">
        <f t="shared" si="0"/>
        <v>0.4965</v>
      </c>
      <c r="D29" s="5">
        <f t="shared" si="2"/>
        <v>0.123</v>
      </c>
      <c r="E29" s="5">
        <f t="shared" si="1"/>
        <v>403.65853658536588</v>
      </c>
    </row>
    <row r="30" spans="1:10" x14ac:dyDescent="0.3">
      <c r="A30" s="4">
        <v>399</v>
      </c>
      <c r="B30" s="4">
        <v>34.5</v>
      </c>
      <c r="C30" s="5">
        <f t="shared" si="0"/>
        <v>0.51749999999999996</v>
      </c>
      <c r="D30" s="5">
        <f t="shared" si="2"/>
        <v>0.13300000000000001</v>
      </c>
      <c r="E30" s="5">
        <f t="shared" si="1"/>
        <v>389.0977443609022</v>
      </c>
    </row>
    <row r="31" spans="1:10" x14ac:dyDescent="0.3">
      <c r="A31" s="4">
        <v>429</v>
      </c>
      <c r="B31" s="4">
        <v>36.299999999999997</v>
      </c>
      <c r="C31" s="5">
        <f t="shared" si="0"/>
        <v>0.54449999999999998</v>
      </c>
      <c r="D31" s="5">
        <f t="shared" si="2"/>
        <v>0.14299999999999999</v>
      </c>
      <c r="E31" s="5">
        <f t="shared" si="1"/>
        <v>380.76923076923077</v>
      </c>
    </row>
    <row r="32" spans="1:10" x14ac:dyDescent="0.3">
      <c r="A32" s="4">
        <v>459</v>
      </c>
      <c r="B32" s="4">
        <v>37.5</v>
      </c>
      <c r="C32" s="5">
        <f t="shared" si="0"/>
        <v>0.5625</v>
      </c>
      <c r="D32" s="5">
        <f t="shared" si="2"/>
        <v>0.153</v>
      </c>
      <c r="E32" s="5">
        <f t="shared" si="1"/>
        <v>367.64705882352945</v>
      </c>
    </row>
    <row r="33" spans="1:5" x14ac:dyDescent="0.3">
      <c r="A33" s="4">
        <v>489</v>
      </c>
      <c r="B33" s="4">
        <v>39</v>
      </c>
      <c r="C33" s="5">
        <f t="shared" si="0"/>
        <v>0.58499999999999996</v>
      </c>
      <c r="D33" s="5">
        <f t="shared" si="2"/>
        <v>0.16300000000000001</v>
      </c>
      <c r="E33" s="5">
        <f t="shared" si="1"/>
        <v>358.89570552147234</v>
      </c>
    </row>
    <row r="34" spans="1:5" x14ac:dyDescent="0.3">
      <c r="A34" s="4">
        <v>519</v>
      </c>
      <c r="B34" s="4">
        <v>40.200000000000003</v>
      </c>
      <c r="C34" s="5">
        <f t="shared" si="0"/>
        <v>0.60299999999999998</v>
      </c>
      <c r="D34" s="5">
        <f t="shared" si="2"/>
        <v>0.17299999999999999</v>
      </c>
      <c r="E34" s="5">
        <f t="shared" si="1"/>
        <v>348.5549132947977</v>
      </c>
    </row>
    <row r="35" spans="1:5" x14ac:dyDescent="0.3">
      <c r="A35" s="4">
        <v>549</v>
      </c>
      <c r="B35" s="4">
        <v>41.4</v>
      </c>
      <c r="C35" s="5">
        <f t="shared" si="0"/>
        <v>0.621</v>
      </c>
      <c r="D35" s="5">
        <f t="shared" si="2"/>
        <v>0.183</v>
      </c>
      <c r="E35" s="5">
        <f t="shared" si="1"/>
        <v>339.34426229508199</v>
      </c>
    </row>
    <row r="36" spans="1:5" x14ac:dyDescent="0.3">
      <c r="A36" s="4">
        <v>579</v>
      </c>
      <c r="B36" s="4">
        <v>42</v>
      </c>
      <c r="C36" s="5">
        <f t="shared" si="0"/>
        <v>0.63</v>
      </c>
      <c r="D36" s="5">
        <f t="shared" si="2"/>
        <v>0.193</v>
      </c>
      <c r="E36" s="5">
        <f>C36/D36*100</f>
        <v>326.42487046632124</v>
      </c>
    </row>
  </sheetData>
  <mergeCells count="10">
    <mergeCell ref="I15:J15"/>
    <mergeCell ref="G14:J14"/>
    <mergeCell ref="G25:J25"/>
    <mergeCell ref="A2:C2"/>
    <mergeCell ref="B12:C12"/>
    <mergeCell ref="A14:E14"/>
    <mergeCell ref="A15:E15"/>
    <mergeCell ref="E2:G2"/>
    <mergeCell ref="E7:G7"/>
    <mergeCell ref="G15:H15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Xuanyu Zhuang</dc:creator>
  <cp:lastModifiedBy>Xuanyu Zhuang</cp:lastModifiedBy>
  <dcterms:created xsi:type="dcterms:W3CDTF">2025-10-09T18:01:25Z</dcterms:created>
  <dcterms:modified xsi:type="dcterms:W3CDTF">2025-10-09T19:17:03Z</dcterms:modified>
</cp:coreProperties>
</file>