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0BA85E85-CC8B-4761-9AD2-BF5EA89FAC7F}" xr6:coauthVersionLast="47" xr6:coauthVersionMax="47" xr10:uidLastSave="{00000000-0000-0000-0000-000000000000}"/>
  <bookViews>
    <workbookView xWindow="-110" yWindow="-110" windowWidth="25820" windowHeight="15500" xr2:uid="{3E91FE0B-0291-4E21-BA97-2D30C83FC5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" l="1"/>
  <c r="M10" i="1"/>
  <c r="M8" i="1"/>
  <c r="M9" i="1"/>
  <c r="M11" i="1"/>
  <c r="M12" i="1"/>
  <c r="M7" i="1"/>
  <c r="L7" i="1"/>
  <c r="L8" i="1"/>
  <c r="L9" i="1"/>
  <c r="L10" i="1"/>
  <c r="L11" i="1"/>
  <c r="L12" i="1"/>
  <c r="L6" i="1"/>
</calcChain>
</file>

<file path=xl/sharedStrings.xml><?xml version="1.0" encoding="utf-8"?>
<sst xmlns="http://schemas.openxmlformats.org/spreadsheetml/2006/main" count="29" uniqueCount="21">
  <si>
    <t>蔗糖溶液浓度</t>
    <phoneticPr fontId="1" type="noConversion"/>
  </si>
  <si>
    <t>第2次</t>
    <phoneticPr fontId="1" type="noConversion"/>
  </si>
  <si>
    <t>第1次</t>
    <phoneticPr fontId="1" type="noConversion"/>
  </si>
  <si>
    <t>第3次</t>
  </si>
  <si>
    <t>第4次</t>
  </si>
  <si>
    <t>第5次</t>
  </si>
  <si>
    <t>左</t>
    <phoneticPr fontId="1" type="noConversion"/>
  </si>
  <si>
    <t>右</t>
    <phoneticPr fontId="1" type="noConversion"/>
  </si>
  <si>
    <t>左右游标读数 /(°)</t>
    <phoneticPr fontId="1" type="noConversion"/>
  </si>
  <si>
    <t>平均值</t>
    <phoneticPr fontId="1" type="noConversion"/>
  </si>
  <si>
    <t>旋光角</t>
    <phoneticPr fontId="1" type="noConversion"/>
  </si>
  <si>
    <t>波长λ = 589.3 nm</t>
    <phoneticPr fontId="1" type="noConversion"/>
  </si>
  <si>
    <t>温度t = 23.2 ℃</t>
    <phoneticPr fontId="1" type="noConversion"/>
  </si>
  <si>
    <t>试管长l = 20cm</t>
    <phoneticPr fontId="1" type="noConversion"/>
  </si>
  <si>
    <t>表9-1 旋光角测量数据记录表</t>
    <phoneticPr fontId="1" type="noConversion"/>
  </si>
  <si>
    <t>0 (视场零点)</t>
    <phoneticPr fontId="1" type="noConversion"/>
  </si>
  <si>
    <t>cx(未知)</t>
    <phoneticPr fontId="1" type="noConversion"/>
  </si>
  <si>
    <t>——</t>
    <phoneticPr fontId="1" type="noConversion"/>
  </si>
  <si>
    <t xml:space="preserve"> </t>
    <phoneticPr fontId="1" type="noConversion"/>
  </si>
  <si>
    <t>斜率SLOPE</t>
    <phoneticPr fontId="1" type="noConversion"/>
  </si>
  <si>
    <t>B=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</si>
</sst>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0" fillId="0" borderId="2" xfId="0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2" xfId="0" applyNumberForma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旋光角 </a:t>
            </a:r>
            <a:r>
              <a:rPr lang="zh-CN" altLang="en-US" baseline="0"/>
              <a:t>                  </a:t>
            </a:r>
            <a:r>
              <a:rPr lang="zh-CN" altLang="en-US"/>
              <a:t>图线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8387350026624363"/>
          <c:y val="0.18039370078740158"/>
          <c:w val="0.7876687856154303"/>
          <c:h val="0.6645343646700681"/>
        </c:manualLayout>
      </c:layout>
      <c:lineChart>
        <c:grouping val="standard"/>
        <c:varyColors val="0"/>
        <c:ser>
          <c:idx val="0"/>
          <c:order val="0"/>
          <c:tx>
            <c:v>旋光角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Sheet1!$A$7:$A$11</c:f>
              <c:numCache>
                <c:formatCode>General</c:formatCode>
                <c:ptCount val="5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</c:numCache>
            </c:numRef>
          </c:cat>
          <c:val>
            <c:numRef>
              <c:f>Sheet1!$M$7:$M$11</c:f>
              <c:numCache>
                <c:formatCode>0.00_ </c:formatCode>
                <c:ptCount val="5"/>
                <c:pt idx="0">
                  <c:v>1.9550000000000005</c:v>
                </c:pt>
                <c:pt idx="1">
                  <c:v>5.42</c:v>
                </c:pt>
                <c:pt idx="2">
                  <c:v>8.2149999999999999</c:v>
                </c:pt>
                <c:pt idx="3">
                  <c:v>11.190000000000001</c:v>
                </c:pt>
                <c:pt idx="4">
                  <c:v>13.355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7-4226-A3C2-E9CF1B850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4178032"/>
        <c:axId val="1814174672"/>
      </c:lineChart>
      <c:catAx>
        <c:axId val="1814178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蔗糖溶液浓度</a:t>
                </a:r>
              </a:p>
            </c:rich>
          </c:tx>
          <c:layout>
            <c:manualLayout>
              <c:xMode val="edge"/>
              <c:yMode val="edge"/>
              <c:x val="0.40954867328384903"/>
              <c:y val="0.915325337401455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14174672"/>
        <c:crosses val="autoZero"/>
        <c:auto val="1"/>
        <c:lblAlgn val="ctr"/>
        <c:lblOffset val="100"/>
        <c:noMultiLvlLbl val="0"/>
      </c:catAx>
      <c:valAx>
        <c:axId val="181417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旋光角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1417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228600</xdr:colOff>
      <xdr:row>16</xdr:row>
      <xdr:rowOff>165100</xdr:rowOff>
    </xdr:from>
    <xdr:ext cx="65" cy="17222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2AD8554D-DC3E-D37B-C310-5BC899BA40A3}"/>
            </a:ext>
          </a:extLst>
        </xdr:cNvPr>
        <xdr:cNvSpPr txBox="1"/>
      </xdr:nvSpPr>
      <xdr:spPr>
        <a:xfrm>
          <a:off x="8128000" y="3009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0</xdr:col>
      <xdr:colOff>298449</xdr:colOff>
      <xdr:row>3</xdr:row>
      <xdr:rowOff>95250</xdr:rowOff>
    </xdr:from>
    <xdr:ext cx="812081" cy="17722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文本框 2">
              <a:extLst>
                <a:ext uri="{FF2B5EF4-FFF2-40B4-BE49-F238E27FC236}">
                  <a16:creationId xmlns:a16="http://schemas.microsoft.com/office/drawing/2014/main" id="{4EF232A1-8CA9-6894-B4BF-42F46D4231C9}"/>
                </a:ext>
              </a:extLst>
            </xdr:cNvPr>
            <xdr:cNvSpPr txBox="1"/>
          </xdr:nvSpPr>
          <xdr:spPr>
            <a:xfrm>
              <a:off x="298449" y="622788"/>
              <a:ext cx="812081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100" i="1">
                        <a:latin typeface="Cambria Math" panose="02040503050406030204" pitchFamily="18" charset="0"/>
                      </a:rPr>
                      <m:t>𝑐</m:t>
                    </m:r>
                    <m:r>
                      <m:rPr>
                        <m:lit/>
                      </m:rPr>
                      <a:rPr lang="en-US" altLang="zh-CN" sz="1100" i="1">
                        <a:latin typeface="Cambria Math" panose="02040503050406030204" pitchFamily="18" charset="0"/>
                      </a:rPr>
                      <m:t>/</m:t>
                    </m:r>
                    <m:d>
                      <m:d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altLang="zh-CN" sz="1100" i="1">
                            <a:latin typeface="Cambria Math" panose="02040503050406030204" pitchFamily="18" charset="0"/>
                          </a:rPr>
                          <m:t>𝑘𝑔</m:t>
                        </m:r>
                        <m:r>
                          <a:rPr lang="en-US" altLang="zh-CN" sz="1100" i="1">
                            <a:latin typeface="Cambria Math" panose="02040503050406030204" pitchFamily="18" charset="0"/>
                          </a:rPr>
                          <m:t>∙</m:t>
                        </m:r>
                        <m:sSup>
                          <m:sSupPr>
                            <m:ctrlPr>
                              <a:rPr lang="en-US" altLang="zh-CN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altLang="zh-CN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en-US" altLang="zh-CN" sz="1100" i="1">
                                <a:latin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</m:e>
                    </m:d>
                  </m:oMath>
                </m:oMathPara>
              </a14:m>
              <a:endParaRPr lang="zh-CN" altLang="en-US" sz="1100"/>
            </a:p>
          </xdr:txBody>
        </xdr:sp>
      </mc:Choice>
      <mc:Fallback>
        <xdr:sp macro="" textlink="">
          <xdr:nvSpPr>
            <xdr:cNvPr id="3" name="文本框 2">
              <a:extLst>
                <a:ext uri="{FF2B5EF4-FFF2-40B4-BE49-F238E27FC236}">
                  <a16:creationId xmlns:a16="http://schemas.microsoft.com/office/drawing/2014/main" id="{4EF232A1-8CA9-6894-B4BF-42F46D4231C9}"/>
                </a:ext>
              </a:extLst>
            </xdr:cNvPr>
            <xdr:cNvSpPr txBox="1"/>
          </xdr:nvSpPr>
          <xdr:spPr>
            <a:xfrm>
              <a:off x="298449" y="622788"/>
              <a:ext cx="812081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1100" i="0">
                  <a:latin typeface="Cambria Math" panose="02040503050406030204" pitchFamily="18" charset="0"/>
                </a:rPr>
                <a:t>𝑐\/(𝑘𝑔∙𝑚^(−3) )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12</xdr:col>
      <xdr:colOff>162657</xdr:colOff>
      <xdr:row>3</xdr:row>
      <xdr:rowOff>101600</xdr:rowOff>
    </xdr:from>
    <xdr:ext cx="364139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文本框 3">
              <a:extLst>
                <a:ext uri="{FF2B5EF4-FFF2-40B4-BE49-F238E27FC236}">
                  <a16:creationId xmlns:a16="http://schemas.microsoft.com/office/drawing/2014/main" id="{29DE30B6-27B2-31F9-9487-FE04BACF1286}"/>
                </a:ext>
              </a:extLst>
            </xdr:cNvPr>
            <xdr:cNvSpPr txBox="1"/>
          </xdr:nvSpPr>
          <xdr:spPr>
            <a:xfrm>
              <a:off x="9370157" y="629138"/>
              <a:ext cx="36413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n-US" altLang="zh-CN" sz="1100" i="1">
                            <a:latin typeface="Cambria Math" panose="02040503050406030204" pitchFamily="18" charset="0"/>
                          </a:rPr>
                          <m:t>𝜑</m:t>
                        </m:r>
                      </m:e>
                    </m:bar>
                    <m:r>
                      <m:rPr>
                        <m:lit/>
                      </m:rPr>
                      <a:rPr lang="en-US" altLang="zh-CN" sz="1100" i="1">
                        <a:latin typeface="Cambria Math" panose="02040503050406030204" pitchFamily="18" charset="0"/>
                      </a:rPr>
                      <m:t>/</m:t>
                    </m:r>
                    <m:d>
                      <m:d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altLang="zh-CN" sz="1100" i="1">
                            <a:latin typeface="Cambria Math" panose="02040503050406030204" pitchFamily="18" charset="0"/>
                          </a:rPr>
                          <m:t>°</m:t>
                        </m:r>
                      </m:e>
                    </m:d>
                  </m:oMath>
                </m:oMathPara>
              </a14:m>
              <a:endParaRPr lang="zh-CN" altLang="en-US" sz="1100"/>
            </a:p>
          </xdr:txBody>
        </xdr:sp>
      </mc:Choice>
      <mc:Fallback>
        <xdr:sp macro="" textlink="">
          <xdr:nvSpPr>
            <xdr:cNvPr id="4" name="文本框 3">
              <a:extLst>
                <a:ext uri="{FF2B5EF4-FFF2-40B4-BE49-F238E27FC236}">
                  <a16:creationId xmlns:a16="http://schemas.microsoft.com/office/drawing/2014/main" id="{29DE30B6-27B2-31F9-9487-FE04BACF1286}"/>
                </a:ext>
              </a:extLst>
            </xdr:cNvPr>
            <xdr:cNvSpPr txBox="1"/>
          </xdr:nvSpPr>
          <xdr:spPr>
            <a:xfrm>
              <a:off x="9370157" y="629138"/>
              <a:ext cx="36413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1100" i="0">
                  <a:latin typeface="Cambria Math" panose="02040503050406030204" pitchFamily="18" charset="0"/>
                </a:rPr>
                <a:t>¯𝜑 \/(°)</a:t>
              </a:r>
              <a:endParaRPr lang="zh-CN" altLang="en-US" sz="1100"/>
            </a:p>
          </xdr:txBody>
        </xdr:sp>
      </mc:Fallback>
    </mc:AlternateContent>
    <xdr:clientData/>
  </xdr:oneCellAnchor>
  <xdr:twoCellAnchor>
    <xdr:from>
      <xdr:col>0</xdr:col>
      <xdr:colOff>376116</xdr:colOff>
      <xdr:row>12</xdr:row>
      <xdr:rowOff>174381</xdr:rowOff>
    </xdr:from>
    <xdr:to>
      <xdr:col>7</xdr:col>
      <xdr:colOff>73269</xdr:colOff>
      <xdr:row>29</xdr:row>
      <xdr:rowOff>92808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B216F43F-60F9-25A6-D26C-56BEA2BB04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677920</xdr:colOff>
      <xdr:row>17</xdr:row>
      <xdr:rowOff>104105</xdr:rowOff>
    </xdr:from>
    <xdr:ext cx="173766" cy="36413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文本框 6">
              <a:extLst>
                <a:ext uri="{FF2B5EF4-FFF2-40B4-BE49-F238E27FC236}">
                  <a16:creationId xmlns:a16="http://schemas.microsoft.com/office/drawing/2014/main" id="{DED2B26D-E262-4354-81A3-CEC520A60DE8}"/>
                </a:ext>
              </a:extLst>
            </xdr:cNvPr>
            <xdr:cNvSpPr txBox="1"/>
          </xdr:nvSpPr>
          <xdr:spPr>
            <a:xfrm rot="16200000">
              <a:off x="582733" y="3437792"/>
              <a:ext cx="36413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n-US" altLang="zh-CN" sz="1100" i="1">
                            <a:latin typeface="Cambria Math" panose="02040503050406030204" pitchFamily="18" charset="0"/>
                          </a:rPr>
                          <m:t>𝜑</m:t>
                        </m:r>
                      </m:e>
                    </m:bar>
                    <m:r>
                      <m:rPr>
                        <m:lit/>
                      </m:rPr>
                      <a:rPr lang="en-US" altLang="zh-CN" sz="1100" i="1">
                        <a:latin typeface="Cambria Math" panose="02040503050406030204" pitchFamily="18" charset="0"/>
                      </a:rPr>
                      <m:t>/</m:t>
                    </m:r>
                    <m:d>
                      <m:d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altLang="zh-CN" sz="1100" i="1">
                            <a:latin typeface="Cambria Math" panose="02040503050406030204" pitchFamily="18" charset="0"/>
                          </a:rPr>
                          <m:t>°</m:t>
                        </m:r>
                      </m:e>
                    </m:d>
                  </m:oMath>
                </m:oMathPara>
              </a14:m>
              <a:endParaRPr lang="zh-CN" altLang="en-US" sz="1100"/>
            </a:p>
          </xdr:txBody>
        </xdr:sp>
      </mc:Choice>
      <mc:Fallback>
        <xdr:sp macro="" textlink="">
          <xdr:nvSpPr>
            <xdr:cNvPr id="7" name="文本框 6">
              <a:extLst>
                <a:ext uri="{FF2B5EF4-FFF2-40B4-BE49-F238E27FC236}">
                  <a16:creationId xmlns:a16="http://schemas.microsoft.com/office/drawing/2014/main" id="{DED2B26D-E262-4354-81A3-CEC520A60DE8}"/>
                </a:ext>
              </a:extLst>
            </xdr:cNvPr>
            <xdr:cNvSpPr txBox="1"/>
          </xdr:nvSpPr>
          <xdr:spPr>
            <a:xfrm rot="16200000">
              <a:off x="582733" y="3437792"/>
              <a:ext cx="36413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1100" i="0">
                  <a:latin typeface="Cambria Math" panose="02040503050406030204" pitchFamily="18" charset="0"/>
                </a:rPr>
                <a:t>¯𝜑 \/(°)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3</xdr:col>
      <xdr:colOff>650141</xdr:colOff>
      <xdr:row>28</xdr:row>
      <xdr:rowOff>31749</xdr:rowOff>
    </xdr:from>
    <xdr:ext cx="812081" cy="17722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文本框 7">
              <a:extLst>
                <a:ext uri="{FF2B5EF4-FFF2-40B4-BE49-F238E27FC236}">
                  <a16:creationId xmlns:a16="http://schemas.microsoft.com/office/drawing/2014/main" id="{3631C6B0-B686-4D38-94A3-B691E06A4556}"/>
                </a:ext>
              </a:extLst>
            </xdr:cNvPr>
            <xdr:cNvSpPr txBox="1"/>
          </xdr:nvSpPr>
          <xdr:spPr>
            <a:xfrm>
              <a:off x="3224333" y="5204557"/>
              <a:ext cx="812081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100" i="1">
                        <a:latin typeface="Cambria Math" panose="02040503050406030204" pitchFamily="18" charset="0"/>
                      </a:rPr>
                      <m:t>𝑐</m:t>
                    </m:r>
                    <m:r>
                      <m:rPr>
                        <m:lit/>
                      </m:rPr>
                      <a:rPr lang="en-US" altLang="zh-CN" sz="1100" i="1">
                        <a:latin typeface="Cambria Math" panose="02040503050406030204" pitchFamily="18" charset="0"/>
                      </a:rPr>
                      <m:t>/</m:t>
                    </m:r>
                    <m:d>
                      <m:d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altLang="zh-CN" sz="1100" i="1">
                            <a:latin typeface="Cambria Math" panose="02040503050406030204" pitchFamily="18" charset="0"/>
                          </a:rPr>
                          <m:t>𝑘𝑔</m:t>
                        </m:r>
                        <m:r>
                          <a:rPr lang="en-US" altLang="zh-CN" sz="1100" i="1">
                            <a:latin typeface="Cambria Math" panose="02040503050406030204" pitchFamily="18" charset="0"/>
                          </a:rPr>
                          <m:t>∙</m:t>
                        </m:r>
                        <m:sSup>
                          <m:sSupPr>
                            <m:ctrlPr>
                              <a:rPr lang="en-US" altLang="zh-CN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altLang="zh-CN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en-US" altLang="zh-CN" sz="1100" i="1">
                                <a:latin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</m:e>
                    </m:d>
                  </m:oMath>
                </m:oMathPara>
              </a14:m>
              <a:endParaRPr lang="zh-CN" altLang="en-US" sz="1100"/>
            </a:p>
          </xdr:txBody>
        </xdr:sp>
      </mc:Choice>
      <mc:Fallback>
        <xdr:sp macro="" textlink="">
          <xdr:nvSpPr>
            <xdr:cNvPr id="8" name="文本框 7">
              <a:extLst>
                <a:ext uri="{FF2B5EF4-FFF2-40B4-BE49-F238E27FC236}">
                  <a16:creationId xmlns:a16="http://schemas.microsoft.com/office/drawing/2014/main" id="{3631C6B0-B686-4D38-94A3-B691E06A4556}"/>
                </a:ext>
              </a:extLst>
            </xdr:cNvPr>
            <xdr:cNvSpPr txBox="1"/>
          </xdr:nvSpPr>
          <xdr:spPr>
            <a:xfrm>
              <a:off x="3224333" y="5204557"/>
              <a:ext cx="812081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1100" i="0">
                  <a:latin typeface="Cambria Math" panose="02040503050406030204" pitchFamily="18" charset="0"/>
                </a:rPr>
                <a:t>𝑐\/(𝑘𝑔∙𝑚^(−3) )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5</xdr:col>
      <xdr:colOff>641839</xdr:colOff>
      <xdr:row>17</xdr:row>
      <xdr:rowOff>4396</xdr:rowOff>
    </xdr:from>
    <xdr:ext cx="65" cy="172227"/>
    <xdr:sp macro="" textlink="">
      <xdr:nvSpPr>
        <xdr:cNvPr id="9" name="文本框 8">
          <a:extLst>
            <a:ext uri="{FF2B5EF4-FFF2-40B4-BE49-F238E27FC236}">
              <a16:creationId xmlns:a16="http://schemas.microsoft.com/office/drawing/2014/main" id="{AADF07DC-F5EE-6FA2-A89E-87D6F334B137}"/>
            </a:ext>
          </a:extLst>
        </xdr:cNvPr>
        <xdr:cNvSpPr txBox="1"/>
      </xdr:nvSpPr>
      <xdr:spPr>
        <a:xfrm>
          <a:off x="4534877" y="324289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3</xdr:col>
      <xdr:colOff>172916</xdr:colOff>
      <xdr:row>13</xdr:row>
      <xdr:rowOff>116743</xdr:rowOff>
    </xdr:from>
    <xdr:ext cx="36240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文本框 9">
              <a:extLst>
                <a:ext uri="{FF2B5EF4-FFF2-40B4-BE49-F238E27FC236}">
                  <a16:creationId xmlns:a16="http://schemas.microsoft.com/office/drawing/2014/main" id="{8F45A3E7-D9F5-09A3-EBB9-5EBBB0441CD1}"/>
                </a:ext>
              </a:extLst>
            </xdr:cNvPr>
            <xdr:cNvSpPr txBox="1"/>
          </xdr:nvSpPr>
          <xdr:spPr>
            <a:xfrm>
              <a:off x="2747108" y="2651858"/>
              <a:ext cx="36240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n-US" altLang="zh-CN" sz="1100" i="1">
                            <a:latin typeface="Cambria Math" panose="02040503050406030204" pitchFamily="18" charset="0"/>
                          </a:rPr>
                          <m:t>𝜑</m:t>
                        </m:r>
                      </m:e>
                    </m:bar>
                    <m:r>
                      <a:rPr lang="en-US" altLang="zh-CN" sz="110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altLang="zh-CN" sz="1100" i="1">
                        <a:latin typeface="Cambria Math" panose="02040503050406030204" pitchFamily="18" charset="0"/>
                      </a:rPr>
                      <m:t>𝑐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>
        <xdr:sp macro="" textlink="">
          <xdr:nvSpPr>
            <xdr:cNvPr id="10" name="文本框 9">
              <a:extLst>
                <a:ext uri="{FF2B5EF4-FFF2-40B4-BE49-F238E27FC236}">
                  <a16:creationId xmlns:a16="http://schemas.microsoft.com/office/drawing/2014/main" id="{8F45A3E7-D9F5-09A3-EBB9-5EBBB0441CD1}"/>
                </a:ext>
              </a:extLst>
            </xdr:cNvPr>
            <xdr:cNvSpPr txBox="1"/>
          </xdr:nvSpPr>
          <xdr:spPr>
            <a:xfrm>
              <a:off x="2747108" y="2651858"/>
              <a:ext cx="36240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1100" i="0">
                  <a:latin typeface="Cambria Math" panose="02040503050406030204" pitchFamily="18" charset="0"/>
                </a:rPr>
                <a:t>¯𝜑−𝑐</a:t>
              </a:r>
              <a:endParaRPr lang="zh-CN" altLang="en-US" sz="1100"/>
            </a:p>
          </xdr:txBody>
        </xdr:sp>
      </mc:Fallback>
    </mc:AlternateContent>
    <xdr:clientData/>
  </xdr:oneCellAnchor>
  <xdr:twoCellAnchor>
    <xdr:from>
      <xdr:col>3</xdr:col>
      <xdr:colOff>200270</xdr:colOff>
      <xdr:row>22</xdr:row>
      <xdr:rowOff>73269</xdr:rowOff>
    </xdr:from>
    <xdr:to>
      <xdr:col>3</xdr:col>
      <xdr:colOff>210039</xdr:colOff>
      <xdr:row>27</xdr:row>
      <xdr:rowOff>19538</xdr:rowOff>
    </xdr:to>
    <xdr:cxnSp macro="">
      <xdr:nvCxnSpPr>
        <xdr:cNvPr id="12" name="直接连接符 11">
          <a:extLst>
            <a:ext uri="{FF2B5EF4-FFF2-40B4-BE49-F238E27FC236}">
              <a16:creationId xmlns:a16="http://schemas.microsoft.com/office/drawing/2014/main" id="{71315621-B140-870D-76B3-5186AC10CBF8}"/>
            </a:ext>
          </a:extLst>
        </xdr:cNvPr>
        <xdr:cNvCxnSpPr/>
      </xdr:nvCxnSpPr>
      <xdr:spPr>
        <a:xfrm flipH="1">
          <a:off x="2774462" y="4191000"/>
          <a:ext cx="9769" cy="82550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1245577</xdr:colOff>
      <xdr:row>22</xdr:row>
      <xdr:rowOff>29307</xdr:rowOff>
    </xdr:from>
    <xdr:to>
      <xdr:col>3</xdr:col>
      <xdr:colOff>219808</xdr:colOff>
      <xdr:row>22</xdr:row>
      <xdr:rowOff>43961</xdr:rowOff>
    </xdr:to>
    <xdr:cxnSp macro="">
      <xdr:nvCxnSpPr>
        <xdr:cNvPr id="14" name="直接连接符 13">
          <a:extLst>
            <a:ext uri="{FF2B5EF4-FFF2-40B4-BE49-F238E27FC236}">
              <a16:creationId xmlns:a16="http://schemas.microsoft.com/office/drawing/2014/main" id="{3458EC23-17A4-283B-F5A2-CFA0594EFAC1}"/>
            </a:ext>
          </a:extLst>
        </xdr:cNvPr>
        <xdr:cNvCxnSpPr/>
      </xdr:nvCxnSpPr>
      <xdr:spPr>
        <a:xfrm flipH="1" flipV="1">
          <a:off x="1245577" y="4147038"/>
          <a:ext cx="1548423" cy="14654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1216270</xdr:colOff>
      <xdr:row>21</xdr:row>
      <xdr:rowOff>19538</xdr:rowOff>
    </xdr:from>
    <xdr:to>
      <xdr:col>1</xdr:col>
      <xdr:colOff>361461</xdr:colOff>
      <xdr:row>22</xdr:row>
      <xdr:rowOff>24423</xdr:rowOff>
    </xdr:to>
    <xdr:sp macro="" textlink="">
      <xdr:nvSpPr>
        <xdr:cNvPr id="17" name="文本框 16">
          <a:extLst>
            <a:ext uri="{FF2B5EF4-FFF2-40B4-BE49-F238E27FC236}">
              <a16:creationId xmlns:a16="http://schemas.microsoft.com/office/drawing/2014/main" id="{B38F983F-B758-A059-5D05-DB8A7E8558EA}"/>
            </a:ext>
          </a:extLst>
        </xdr:cNvPr>
        <xdr:cNvSpPr txBox="1"/>
      </xdr:nvSpPr>
      <xdr:spPr>
        <a:xfrm>
          <a:off x="1216270" y="3961423"/>
          <a:ext cx="400537" cy="180731"/>
        </a:xfrm>
        <a:prstGeom prst="rect">
          <a:avLst/>
        </a:prstGeom>
        <a:solidFill>
          <a:schemeClr val="lt1"/>
        </a:solidFill>
        <a:ln w="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800"/>
            <a:t>7.02</a:t>
          </a:r>
          <a:endParaRPr lang="zh-CN" altLang="en-US" sz="800"/>
        </a:p>
      </xdr:txBody>
    </xdr:sp>
    <xdr:clientData/>
  </xdr:twoCellAnchor>
  <xdr:twoCellAnchor>
    <xdr:from>
      <xdr:col>3</xdr:col>
      <xdr:colOff>5863</xdr:colOff>
      <xdr:row>27</xdr:row>
      <xdr:rowOff>10746</xdr:rowOff>
    </xdr:from>
    <xdr:to>
      <xdr:col>3</xdr:col>
      <xdr:colOff>493346</xdr:colOff>
      <xdr:row>28</xdr:row>
      <xdr:rowOff>24423</xdr:rowOff>
    </xdr:to>
    <xdr:sp macro="" textlink="">
      <xdr:nvSpPr>
        <xdr:cNvPr id="18" name="文本框 17">
          <a:extLst>
            <a:ext uri="{FF2B5EF4-FFF2-40B4-BE49-F238E27FC236}">
              <a16:creationId xmlns:a16="http://schemas.microsoft.com/office/drawing/2014/main" id="{2C2A2099-11D8-4AA4-A759-18DA68899C8E}"/>
            </a:ext>
          </a:extLst>
        </xdr:cNvPr>
        <xdr:cNvSpPr txBox="1"/>
      </xdr:nvSpPr>
      <xdr:spPr>
        <a:xfrm>
          <a:off x="2580055" y="5007708"/>
          <a:ext cx="487483" cy="189523"/>
        </a:xfrm>
        <a:prstGeom prst="rect">
          <a:avLst/>
        </a:prstGeom>
        <a:solidFill>
          <a:schemeClr val="lt1"/>
        </a:solidFill>
        <a:ln w="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800"/>
            <a:t>49.14</a:t>
          </a:r>
          <a:endParaRPr lang="zh-CN" altLang="en-US" sz="8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0.41294</cdr:x>
      <cdr:y>0.45742</cdr:y>
    </cdr:from>
    <cdr:to>
      <cdr:x>0.48955</cdr:x>
      <cdr:y>0.55821</cdr:y>
    </cdr:to>
    <cdr:cxnSp macro="">
      <cdr:nvCxnSpPr>
        <cdr:cNvPr id="3" name="直接箭头连接符 2">
          <a:extLst xmlns:a="http://schemas.openxmlformats.org/drawingml/2006/main">
            <a:ext uri="{FF2B5EF4-FFF2-40B4-BE49-F238E27FC236}">
              <a16:creationId xmlns:a16="http://schemas.microsoft.com/office/drawing/2014/main" id="{7A387738-FCC7-A871-46A9-4F0A2F23B8A6}"/>
            </a:ext>
          </a:extLst>
        </cdr:cNvPr>
        <cdr:cNvCxnSpPr/>
      </cdr:nvCxnSpPr>
      <cdr:spPr>
        <a:xfrm xmlns:a="http://schemas.openxmlformats.org/drawingml/2006/main">
          <a:off x="2027115" y="1330081"/>
          <a:ext cx="376115" cy="29307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B0E6D-849C-4BD5-BD8E-0688AB77B142}">
  <dimension ref="A1:M15"/>
  <sheetViews>
    <sheetView tabSelected="1" zoomScale="130" zoomScaleNormal="130" workbookViewId="0">
      <selection activeCell="J26" sqref="J26"/>
    </sheetView>
  </sheetViews>
  <sheetFormatPr defaultRowHeight="14" x14ac:dyDescent="0.3"/>
  <cols>
    <col min="1" max="1" width="16.5" customWidth="1"/>
    <col min="9" max="9" width="11.33203125" customWidth="1"/>
  </cols>
  <sheetData>
    <row r="1" spans="1:13" ht="32.5" customHeight="1" x14ac:dyDescent="0.3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3">
      <c r="A2" s="2"/>
      <c r="B2" s="2"/>
      <c r="C2" s="2"/>
      <c r="D2" s="2"/>
      <c r="E2" s="2"/>
      <c r="F2" s="1" t="s">
        <v>11</v>
      </c>
      <c r="G2" s="1"/>
      <c r="H2" s="1" t="s">
        <v>12</v>
      </c>
      <c r="I2" s="1"/>
      <c r="J2" s="1" t="s">
        <v>13</v>
      </c>
      <c r="K2" s="1"/>
    </row>
    <row r="3" spans="1:13" x14ac:dyDescent="0.3">
      <c r="A3" s="4" t="s">
        <v>0</v>
      </c>
      <c r="B3" s="5" t="s">
        <v>8</v>
      </c>
      <c r="C3" s="5"/>
      <c r="D3" s="5"/>
      <c r="E3" s="5"/>
      <c r="F3" s="5"/>
      <c r="G3" s="5"/>
      <c r="H3" s="5"/>
      <c r="I3" s="5"/>
      <c r="J3" s="5"/>
      <c r="K3" s="5"/>
      <c r="L3" s="5"/>
      <c r="M3" s="4" t="s">
        <v>10</v>
      </c>
    </row>
    <row r="4" spans="1:13" x14ac:dyDescent="0.3">
      <c r="A4" s="4"/>
      <c r="B4" s="5" t="s">
        <v>2</v>
      </c>
      <c r="C4" s="5"/>
      <c r="D4" s="5" t="s">
        <v>1</v>
      </c>
      <c r="E4" s="5"/>
      <c r="F4" s="5" t="s">
        <v>3</v>
      </c>
      <c r="G4" s="5"/>
      <c r="H4" s="5" t="s">
        <v>4</v>
      </c>
      <c r="I4" s="5"/>
      <c r="J4" s="5" t="s">
        <v>5</v>
      </c>
      <c r="K4" s="5"/>
      <c r="L4" s="5" t="s">
        <v>9</v>
      </c>
      <c r="M4" s="4"/>
    </row>
    <row r="5" spans="1:13" x14ac:dyDescent="0.3">
      <c r="A5" s="4"/>
      <c r="B5" s="6" t="s">
        <v>6</v>
      </c>
      <c r="C5" s="6" t="s">
        <v>7</v>
      </c>
      <c r="D5" s="6" t="s">
        <v>6</v>
      </c>
      <c r="E5" s="6" t="s">
        <v>7</v>
      </c>
      <c r="F5" s="6" t="s">
        <v>6</v>
      </c>
      <c r="G5" s="6" t="s">
        <v>7</v>
      </c>
      <c r="H5" s="6" t="s">
        <v>6</v>
      </c>
      <c r="I5" s="6" t="s">
        <v>7</v>
      </c>
      <c r="J5" s="6" t="s">
        <v>6</v>
      </c>
      <c r="K5" s="6" t="s">
        <v>7</v>
      </c>
      <c r="L5" s="5"/>
      <c r="M5" s="4"/>
    </row>
    <row r="6" spans="1:13" x14ac:dyDescent="0.3">
      <c r="A6" s="6" t="s">
        <v>15</v>
      </c>
      <c r="B6" s="7">
        <v>1.9</v>
      </c>
      <c r="C6" s="7">
        <v>1.95</v>
      </c>
      <c r="D6" s="7">
        <v>1.8</v>
      </c>
      <c r="E6" s="7">
        <v>1.95</v>
      </c>
      <c r="F6" s="7">
        <v>1.9</v>
      </c>
      <c r="G6" s="7">
        <v>2</v>
      </c>
      <c r="H6" s="7">
        <v>1.95</v>
      </c>
      <c r="I6" s="7">
        <v>2</v>
      </c>
      <c r="J6" s="7">
        <v>1.6</v>
      </c>
      <c r="K6" s="7">
        <v>1.7</v>
      </c>
      <c r="L6" s="8">
        <f>AVERAGE(B6:K6)</f>
        <v>1.875</v>
      </c>
      <c r="M6" s="6" t="s">
        <v>17</v>
      </c>
    </row>
    <row r="7" spans="1:13" x14ac:dyDescent="0.3">
      <c r="A7" s="6">
        <v>20</v>
      </c>
      <c r="B7" s="7">
        <v>3.6</v>
      </c>
      <c r="C7" s="7">
        <v>3.7</v>
      </c>
      <c r="D7" s="7">
        <v>3.95</v>
      </c>
      <c r="E7" s="7">
        <v>4</v>
      </c>
      <c r="F7" s="7">
        <v>3.9</v>
      </c>
      <c r="G7" s="7">
        <v>3.95</v>
      </c>
      <c r="H7" s="7">
        <v>3.85</v>
      </c>
      <c r="I7" s="7">
        <v>3.7</v>
      </c>
      <c r="J7" s="7">
        <v>3.7</v>
      </c>
      <c r="K7" s="7">
        <v>3.95</v>
      </c>
      <c r="L7" s="8">
        <f t="shared" ref="L7:L12" si="0">AVERAGE(B7:K7)</f>
        <v>3.8300000000000005</v>
      </c>
      <c r="M7" s="8">
        <f>L7-$L$6</f>
        <v>1.9550000000000005</v>
      </c>
    </row>
    <row r="8" spans="1:13" x14ac:dyDescent="0.3">
      <c r="A8" s="6">
        <v>40</v>
      </c>
      <c r="B8" s="7">
        <v>7</v>
      </c>
      <c r="C8" s="7">
        <v>7.1</v>
      </c>
      <c r="D8" s="7">
        <v>7.2</v>
      </c>
      <c r="E8" s="7">
        <v>7.3</v>
      </c>
      <c r="F8" s="7">
        <v>7.4</v>
      </c>
      <c r="G8" s="7">
        <v>7.4</v>
      </c>
      <c r="H8" s="7">
        <v>7.3</v>
      </c>
      <c r="I8" s="7">
        <v>7.4</v>
      </c>
      <c r="J8" s="7">
        <v>7.4</v>
      </c>
      <c r="K8" s="7">
        <v>7.45</v>
      </c>
      <c r="L8" s="8">
        <f t="shared" si="0"/>
        <v>7.2949999999999999</v>
      </c>
      <c r="M8" s="8">
        <f t="shared" ref="M8:M12" si="1">L8-$L$6</f>
        <v>5.42</v>
      </c>
    </row>
    <row r="9" spans="1:13" x14ac:dyDescent="0.3">
      <c r="A9" s="6">
        <v>60</v>
      </c>
      <c r="B9" s="7">
        <v>9.9</v>
      </c>
      <c r="C9" s="7">
        <v>9.9499999999999993</v>
      </c>
      <c r="D9" s="7">
        <v>10.199999999999999</v>
      </c>
      <c r="E9" s="7">
        <v>10.199999999999999</v>
      </c>
      <c r="F9" s="7">
        <v>10.199999999999999</v>
      </c>
      <c r="G9" s="7">
        <v>10.25</v>
      </c>
      <c r="H9" s="7">
        <v>10</v>
      </c>
      <c r="I9" s="7">
        <v>10.1</v>
      </c>
      <c r="J9" s="7">
        <v>10</v>
      </c>
      <c r="K9" s="7">
        <v>10.1</v>
      </c>
      <c r="L9" s="8">
        <f t="shared" si="0"/>
        <v>10.09</v>
      </c>
      <c r="M9" s="8">
        <f t="shared" si="1"/>
        <v>8.2149999999999999</v>
      </c>
    </row>
    <row r="10" spans="1:13" x14ac:dyDescent="0.3">
      <c r="A10" s="6">
        <v>80</v>
      </c>
      <c r="B10" s="7">
        <v>13.05</v>
      </c>
      <c r="C10" s="7">
        <v>13.1</v>
      </c>
      <c r="D10" s="7">
        <v>13.3</v>
      </c>
      <c r="E10" s="7">
        <v>13.4</v>
      </c>
      <c r="F10" s="7">
        <v>12.9</v>
      </c>
      <c r="G10" s="7">
        <v>12.9</v>
      </c>
      <c r="H10" s="7">
        <v>12.9</v>
      </c>
      <c r="I10" s="7">
        <v>13</v>
      </c>
      <c r="J10" s="7">
        <v>13</v>
      </c>
      <c r="K10" s="7">
        <v>13.1</v>
      </c>
      <c r="L10" s="8">
        <f t="shared" si="0"/>
        <v>13.065000000000001</v>
      </c>
      <c r="M10" s="8">
        <f>L10-$L$6</f>
        <v>11.190000000000001</v>
      </c>
    </row>
    <row r="11" spans="1:13" x14ac:dyDescent="0.3">
      <c r="A11" s="6">
        <v>100</v>
      </c>
      <c r="B11" s="7">
        <v>15.05</v>
      </c>
      <c r="C11" s="7">
        <v>15.1</v>
      </c>
      <c r="D11" s="7">
        <v>15.1</v>
      </c>
      <c r="E11" s="7">
        <v>15.15</v>
      </c>
      <c r="F11" s="7">
        <v>15.3</v>
      </c>
      <c r="G11" s="7">
        <v>15.35</v>
      </c>
      <c r="H11" s="7">
        <v>15.2</v>
      </c>
      <c r="I11" s="7">
        <v>15.3</v>
      </c>
      <c r="J11" s="7">
        <v>15.35</v>
      </c>
      <c r="K11" s="7">
        <v>15.4</v>
      </c>
      <c r="L11" s="8">
        <f t="shared" si="0"/>
        <v>15.23</v>
      </c>
      <c r="M11" s="8">
        <f t="shared" si="1"/>
        <v>13.355</v>
      </c>
    </row>
    <row r="12" spans="1:13" ht="14.5" thickBot="1" x14ac:dyDescent="0.35">
      <c r="A12" s="9" t="s">
        <v>16</v>
      </c>
      <c r="B12" s="10">
        <v>8.65</v>
      </c>
      <c r="C12" s="10">
        <v>8.6999999999999993</v>
      </c>
      <c r="D12" s="10">
        <v>8.75</v>
      </c>
      <c r="E12" s="10">
        <v>9</v>
      </c>
      <c r="F12" s="10">
        <v>8.8000000000000007</v>
      </c>
      <c r="G12" s="10">
        <v>8.8000000000000007</v>
      </c>
      <c r="H12" s="10">
        <v>9</v>
      </c>
      <c r="I12" s="10">
        <v>9.1</v>
      </c>
      <c r="J12" s="10">
        <v>9</v>
      </c>
      <c r="K12" s="10">
        <v>9.1</v>
      </c>
      <c r="L12" s="11">
        <f t="shared" si="0"/>
        <v>8.8899999999999988</v>
      </c>
      <c r="M12" s="11">
        <f t="shared" si="1"/>
        <v>7.0149999999999988</v>
      </c>
    </row>
    <row r="13" spans="1:13" x14ac:dyDescent="0.3">
      <c r="A13" t="s">
        <v>18</v>
      </c>
    </row>
    <row r="15" spans="1:13" x14ac:dyDescent="0.3">
      <c r="I15" t="s">
        <v>19</v>
      </c>
      <c r="J15" t="s">
        <v>20</v>
      </c>
      <c r="K15">
        <f>SLOPE(M7:M11,A7:A11)</f>
        <v>0.14285000000000003</v>
      </c>
    </row>
  </sheetData>
  <mergeCells count="13">
    <mergeCell ref="A1:M1"/>
    <mergeCell ref="L4:L5"/>
    <mergeCell ref="B3:L3"/>
    <mergeCell ref="M3:M5"/>
    <mergeCell ref="F2:G2"/>
    <mergeCell ref="H2:I2"/>
    <mergeCell ref="J2:K2"/>
    <mergeCell ref="A3:A5"/>
    <mergeCell ref="B4:C4"/>
    <mergeCell ref="D4:E4"/>
    <mergeCell ref="F4:G4"/>
    <mergeCell ref="H4:I4"/>
    <mergeCell ref="J4:K4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Xuanyu Zhuang</dc:creator>
  <cp:lastModifiedBy>Xuanyu Zhuang</cp:lastModifiedBy>
  <dcterms:created xsi:type="dcterms:W3CDTF">2025-10-30T23:11:44Z</dcterms:created>
  <dcterms:modified xsi:type="dcterms:W3CDTF">2025-10-31T01:09:58Z</dcterms:modified>
</cp:coreProperties>
</file>