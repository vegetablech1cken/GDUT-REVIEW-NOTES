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71E9DD1-EA0C-46C1-819B-C504C1B757FD}" xr6:coauthVersionLast="47" xr6:coauthVersionMax="47" xr10:uidLastSave="{00000000-0000-0000-0000-000000000000}"/>
  <bookViews>
    <workbookView xWindow="-110" yWindow="-110" windowWidth="25820" windowHeight="15500" xr2:uid="{7D63F694-6260-4984-98C1-960E1E77D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H5" i="1" s="1"/>
  <c r="I5" i="1" s="1"/>
  <c r="J5" i="1" s="1"/>
  <c r="G6" i="1"/>
  <c r="H6" i="1" s="1"/>
  <c r="I6" i="1" s="1"/>
  <c r="J6" i="1" s="1"/>
  <c r="G7" i="1"/>
  <c r="H7" i="1" s="1"/>
  <c r="I7" i="1" s="1"/>
  <c r="J7" i="1" s="1"/>
  <c r="G8" i="1"/>
  <c r="H8" i="1" s="1"/>
  <c r="I8" i="1" s="1"/>
  <c r="J8" i="1" s="1"/>
  <c r="G9" i="1"/>
  <c r="H9" i="1" s="1"/>
  <c r="I9" i="1" s="1"/>
  <c r="J9" i="1" s="1"/>
  <c r="G10" i="1"/>
  <c r="H10" i="1" s="1"/>
  <c r="I10" i="1" s="1"/>
  <c r="J10" i="1" s="1"/>
  <c r="G4" i="1"/>
  <c r="H4" i="1" s="1"/>
  <c r="I4" i="1" s="1"/>
  <c r="J4" i="1" s="1"/>
</calcChain>
</file>

<file path=xl/sharedStrings.xml><?xml version="1.0" encoding="utf-8"?>
<sst xmlns="http://schemas.openxmlformats.org/spreadsheetml/2006/main" count="12" uniqueCount="12">
  <si>
    <t>Vr/VB</t>
    <phoneticPr fontId="1" type="noConversion"/>
  </si>
  <si>
    <t>d1/cm</t>
    <phoneticPr fontId="1" type="noConversion"/>
  </si>
  <si>
    <t>d2/cm</t>
    <phoneticPr fontId="1" type="noConversion"/>
  </si>
  <si>
    <t>d3/cm</t>
  </si>
  <si>
    <t>d4/cm</t>
  </si>
  <si>
    <t>d5/cm</t>
  </si>
  <si>
    <t>Avg(d)/cm</t>
    <phoneticPr fontId="1" type="noConversion"/>
  </si>
  <si>
    <t>Avg(r)/cm</t>
    <phoneticPr fontId="1" type="noConversion"/>
  </si>
  <si>
    <t>ln(Avg(r))</t>
    <phoneticPr fontId="1" type="noConversion"/>
  </si>
  <si>
    <t>ln(avg(r))/ln7</t>
    <phoneticPr fontId="1" type="noConversion"/>
  </si>
  <si>
    <t>表5-1 等势图的测绘</t>
    <phoneticPr fontId="1" type="noConversion"/>
  </si>
  <si>
    <t>实验5 用模拟法测量静电场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</si>
</sst>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Sheet1!$A$4:$A$10</c:f>
              <c:strCache>
                <c:ptCount val="7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Sheet1!$J$4:$J$10</c:f>
              <c:numCache>
                <c:formatCode>0.000_ </c:formatCode>
                <c:ptCount val="7"/>
                <c:pt idx="0">
                  <c:v>0.15040242947748797</c:v>
                </c:pt>
                <c:pt idx="1">
                  <c:v>0.36487003162558967</c:v>
                </c:pt>
                <c:pt idx="2">
                  <c:v>0.36989843125891736</c:v>
                </c:pt>
                <c:pt idx="3">
                  <c:v>0.49083805648633955</c:v>
                </c:pt>
                <c:pt idx="4">
                  <c:v>0.58817783601784146</c:v>
                </c:pt>
                <c:pt idx="5">
                  <c:v>0.69277255630438328</c:v>
                </c:pt>
                <c:pt idx="6">
                  <c:v>0.80029499757201028</c:v>
                </c:pt>
              </c:numCache>
            </c:numRef>
          </c:cat>
          <c:val>
            <c:numRef>
              <c:f>Sheet1!$A$4:$A$10</c:f>
              <c:numCache>
                <c:formatCode>General</c:formatCode>
                <c:ptCount val="7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D2-48F3-AFCE-85126511C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7662976"/>
        <c:axId val="1867646656"/>
      </c:lineChart>
      <c:catAx>
        <c:axId val="1867662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</a:t>
                </a:r>
                <a:r>
                  <a:rPr lang="en-US" altLang="zh-CN" baseline="0"/>
                  <a:t> r/ln 7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7646656"/>
        <c:crosses val="autoZero"/>
        <c:auto val="1"/>
        <c:lblAlgn val="ctr"/>
        <c:lblOffset val="100"/>
        <c:noMultiLvlLbl val="0"/>
      </c:catAx>
      <c:valAx>
        <c:axId val="186764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Vr/Vb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766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422275</xdr:colOff>
      <xdr:row>11</xdr:row>
      <xdr:rowOff>76200</xdr:rowOff>
    </xdr:from>
    <xdr:to>
      <xdr:col>8</xdr:col>
      <xdr:colOff>371475</xdr:colOff>
      <xdr:row>26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D5AC8C1-8C0D-30B2-F48E-1F28818D2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8F33-5CD3-4936-9C0C-50001705C291}">
  <dimension ref="A1:J10"/>
  <sheetViews>
    <sheetView tabSelected="1" workbookViewId="0">
      <selection sqref="A1:J1"/>
    </sheetView>
  </sheetViews>
  <sheetFormatPr defaultRowHeight="14" x14ac:dyDescent="0.3"/>
  <cols>
    <col min="10" max="10" width="10.75" customWidth="1"/>
  </cols>
  <sheetData>
    <row r="1" spans="1:10" ht="38.5" customHeight="1" x14ac:dyDescent="0.3">
      <c r="A1" s="4" t="s">
        <v>11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3">
      <c r="A4" s="1">
        <v>0.2</v>
      </c>
      <c r="B4" s="1">
        <v>2.67</v>
      </c>
      <c r="C4" s="1">
        <v>2.69</v>
      </c>
      <c r="D4" s="1">
        <v>2.7</v>
      </c>
      <c r="E4" s="1">
        <v>2.65</v>
      </c>
      <c r="F4" s="1">
        <v>2.69</v>
      </c>
      <c r="G4" s="1">
        <f>AVERAGE(B4:F4)</f>
        <v>2.6799999999999997</v>
      </c>
      <c r="H4" s="1">
        <f>G4/2</f>
        <v>1.3399999999999999</v>
      </c>
      <c r="I4" s="1">
        <f>LN(H4)</f>
        <v>0.29266961396281987</v>
      </c>
      <c r="J4" s="2">
        <f>I4/LN(7)</f>
        <v>0.15040242947748797</v>
      </c>
    </row>
    <row r="5" spans="1:10" x14ac:dyDescent="0.3">
      <c r="A5" s="1">
        <v>0.3</v>
      </c>
      <c r="B5" s="1">
        <v>3.37</v>
      </c>
      <c r="C5" s="1">
        <v>3.5</v>
      </c>
      <c r="D5" s="1">
        <v>6.46</v>
      </c>
      <c r="E5" s="1">
        <v>3.55</v>
      </c>
      <c r="F5" s="1">
        <v>3.46</v>
      </c>
      <c r="G5" s="1">
        <f t="shared" ref="G5:G10" si="0">AVERAGE(B5:F5)</f>
        <v>4.0679999999999996</v>
      </c>
      <c r="H5" s="1">
        <f t="shared" ref="H5:H10" si="1">G5/2</f>
        <v>2.0339999999999998</v>
      </c>
      <c r="I5" s="1">
        <f t="shared" ref="I5:I10" si="2">LN(H5)</f>
        <v>0.71000429762636807</v>
      </c>
      <c r="J5" s="2">
        <f t="shared" ref="J5:J10" si="3">I5/LN(7)</f>
        <v>0.36487003162558967</v>
      </c>
    </row>
    <row r="6" spans="1:10" x14ac:dyDescent="0.3">
      <c r="A6" s="1">
        <v>0.4</v>
      </c>
      <c r="B6" s="1">
        <v>4.05</v>
      </c>
      <c r="C6" s="1">
        <v>3.9</v>
      </c>
      <c r="D6" s="1">
        <v>4.18</v>
      </c>
      <c r="E6" s="1">
        <v>4.26</v>
      </c>
      <c r="F6" s="1">
        <v>4.1500000000000004</v>
      </c>
      <c r="G6" s="1">
        <f t="shared" si="0"/>
        <v>4.1079999999999997</v>
      </c>
      <c r="H6" s="1">
        <f t="shared" si="1"/>
        <v>2.0539999999999998</v>
      </c>
      <c r="I6" s="1">
        <f t="shared" si="2"/>
        <v>0.71978911150636637</v>
      </c>
      <c r="J6" s="2">
        <f t="shared" si="3"/>
        <v>0.36989843125891736</v>
      </c>
    </row>
    <row r="7" spans="1:10" x14ac:dyDescent="0.3">
      <c r="A7" s="1">
        <v>0.5</v>
      </c>
      <c r="B7" s="1">
        <v>5.0999999999999996</v>
      </c>
      <c r="C7" s="1">
        <v>5.23</v>
      </c>
      <c r="D7" s="1">
        <v>5.16</v>
      </c>
      <c r="E7" s="1">
        <v>5.35</v>
      </c>
      <c r="F7" s="1">
        <v>5.15</v>
      </c>
      <c r="G7" s="1">
        <f t="shared" si="0"/>
        <v>5.1980000000000004</v>
      </c>
      <c r="H7" s="1">
        <f t="shared" si="1"/>
        <v>2.5990000000000002</v>
      </c>
      <c r="I7" s="1">
        <f t="shared" si="2"/>
        <v>0.95512675565935323</v>
      </c>
      <c r="J7" s="2">
        <f t="shared" si="3"/>
        <v>0.49083805648633955</v>
      </c>
    </row>
    <row r="8" spans="1:10" x14ac:dyDescent="0.3">
      <c r="A8" s="1">
        <v>0.6</v>
      </c>
      <c r="B8" s="1">
        <v>6.2</v>
      </c>
      <c r="C8" s="1">
        <v>6.28</v>
      </c>
      <c r="D8" s="1">
        <v>6.29</v>
      </c>
      <c r="E8" s="1">
        <v>6.37</v>
      </c>
      <c r="F8" s="1">
        <v>6.27</v>
      </c>
      <c r="G8" s="1">
        <f t="shared" si="0"/>
        <v>6.282</v>
      </c>
      <c r="H8" s="1">
        <f t="shared" si="1"/>
        <v>3.141</v>
      </c>
      <c r="I8" s="1">
        <f t="shared" si="2"/>
        <v>1.1445412205565095</v>
      </c>
      <c r="J8" s="2">
        <f t="shared" si="3"/>
        <v>0.58817783601784146</v>
      </c>
    </row>
    <row r="9" spans="1:10" x14ac:dyDescent="0.3">
      <c r="A9" s="1">
        <v>0.7</v>
      </c>
      <c r="B9" s="1">
        <v>7.75</v>
      </c>
      <c r="C9" s="1">
        <v>7.71</v>
      </c>
      <c r="D9" s="1">
        <v>7.66</v>
      </c>
      <c r="E9" s="1">
        <v>7.71</v>
      </c>
      <c r="F9" s="1">
        <v>7.67</v>
      </c>
      <c r="G9" s="1">
        <f t="shared" si="0"/>
        <v>7.7</v>
      </c>
      <c r="H9" s="1">
        <f t="shared" si="1"/>
        <v>3.85</v>
      </c>
      <c r="I9" s="1">
        <f t="shared" si="2"/>
        <v>1.3480731482996928</v>
      </c>
      <c r="J9" s="2">
        <f t="shared" si="3"/>
        <v>0.69277255630438328</v>
      </c>
    </row>
    <row r="10" spans="1:10" x14ac:dyDescent="0.3">
      <c r="A10" s="1">
        <v>0.8</v>
      </c>
      <c r="B10" s="1">
        <v>9.52</v>
      </c>
      <c r="C10" s="1">
        <v>9.6300000000000008</v>
      </c>
      <c r="D10" s="1">
        <v>9.5</v>
      </c>
      <c r="E10" s="1">
        <v>9.56</v>
      </c>
      <c r="F10" s="1">
        <v>9.25</v>
      </c>
      <c r="G10" s="1">
        <f t="shared" si="0"/>
        <v>9.4920000000000009</v>
      </c>
      <c r="H10" s="1">
        <f t="shared" si="1"/>
        <v>4.7460000000000004</v>
      </c>
      <c r="I10" s="1">
        <f t="shared" si="2"/>
        <v>1.557302158013572</v>
      </c>
      <c r="J10" s="2">
        <f t="shared" si="3"/>
        <v>0.80029499757201028</v>
      </c>
    </row>
  </sheetData>
  <mergeCells count="2">
    <mergeCell ref="A2:J2"/>
    <mergeCell ref="A1:J1"/>
  </mergeCells>
  <phoneticPr fontId="1" type="noConversion"/>
  <pageMargins left="0.7" right="0.7" top="0.75" bottom="0.75" header="0.3" footer="0.3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Xuanyu Zhuang</dc:creator>
  <cp:lastModifiedBy>Xuanyu Zhuang</cp:lastModifiedBy>
  <cp:lastPrinted>2025-10-24T05:20:18Z</cp:lastPrinted>
  <dcterms:created xsi:type="dcterms:W3CDTF">2025-10-24T04:59:42Z</dcterms:created>
  <dcterms:modified xsi:type="dcterms:W3CDTF">2025-10-26T02:15:10Z</dcterms:modified>
</cp:coreProperties>
</file>